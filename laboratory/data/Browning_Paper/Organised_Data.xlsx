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leymcnamara/Desktop/University/MPhil/Organoid Data/Browning et. al./"/>
    </mc:Choice>
  </mc:AlternateContent>
  <xr:revisionPtr revIDLastSave="0" documentId="13_ncr:1_{EDFFDEA4-2720-034F-AC50-23CB2F2193F7}" xr6:coauthVersionLast="47" xr6:coauthVersionMax="47" xr10:uidLastSave="{00000000-0000-0000-0000-000000000000}"/>
  <bookViews>
    <workbookView xWindow="0" yWindow="540" windowWidth="33280" windowHeight="20180" xr2:uid="{D6D742A8-8FC4-5E4E-B64C-89BA1478B18E}"/>
  </bookViews>
  <sheets>
    <sheet name="Summary" sheetId="7" r:id="rId1"/>
    <sheet name="983b 10k" sheetId="1" r:id="rId2"/>
    <sheet name="983b 5k" sheetId="2" r:id="rId3"/>
    <sheet name="983b 2.5k" sheetId="3" r:id="rId4"/>
    <sheet name="793b 10k" sheetId="4" r:id="rId5"/>
    <sheet name="793b 5k" sheetId="5" r:id="rId6"/>
    <sheet name="793 2.5k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6" l="1"/>
  <c r="I12" i="6"/>
  <c r="I11" i="6"/>
  <c r="I10" i="6"/>
  <c r="I9" i="6"/>
  <c r="I8" i="6"/>
  <c r="I7" i="6"/>
  <c r="I6" i="6"/>
  <c r="I5" i="6"/>
  <c r="I13" i="5"/>
  <c r="I12" i="5"/>
  <c r="I11" i="5"/>
  <c r="I10" i="5"/>
  <c r="I9" i="5"/>
  <c r="I8" i="5"/>
  <c r="I7" i="5"/>
  <c r="I6" i="5"/>
  <c r="I5" i="5"/>
  <c r="I13" i="4"/>
  <c r="I12" i="4"/>
  <c r="I11" i="4"/>
  <c r="I10" i="4"/>
  <c r="I9" i="4"/>
  <c r="I8" i="4"/>
  <c r="I7" i="4"/>
  <c r="I6" i="4"/>
  <c r="I5" i="4"/>
  <c r="I14" i="3"/>
  <c r="I13" i="3"/>
  <c r="I12" i="3"/>
  <c r="I11" i="3"/>
  <c r="I10" i="3"/>
  <c r="I9" i="3"/>
  <c r="I8" i="3"/>
  <c r="I7" i="3"/>
  <c r="I6" i="3"/>
  <c r="I5" i="3"/>
  <c r="I14" i="2"/>
  <c r="I13" i="2"/>
  <c r="I12" i="2"/>
  <c r="I11" i="2"/>
  <c r="I10" i="2"/>
  <c r="I9" i="2"/>
  <c r="I8" i="2"/>
  <c r="I7" i="2"/>
  <c r="I6" i="2"/>
  <c r="I5" i="2"/>
  <c r="I14" i="1"/>
  <c r="I13" i="1"/>
  <c r="I12" i="1"/>
  <c r="I11" i="1"/>
  <c r="I10" i="1"/>
  <c r="I9" i="1"/>
  <c r="I8" i="1"/>
  <c r="I7" i="1"/>
  <c r="I6" i="1"/>
  <c r="I5" i="1"/>
  <c r="E6" i="6"/>
  <c r="F6" i="6"/>
  <c r="E7" i="6"/>
  <c r="F7" i="6"/>
  <c r="E8" i="6"/>
  <c r="F8" i="6"/>
  <c r="E9" i="6"/>
  <c r="F9" i="6"/>
  <c r="E10" i="6"/>
  <c r="J6" i="6" s="1"/>
  <c r="F10" i="6"/>
  <c r="K6" i="6" s="1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J7" i="6" s="1"/>
  <c r="F20" i="6"/>
  <c r="K7" i="6" s="1"/>
  <c r="E21" i="6"/>
  <c r="F21" i="6"/>
  <c r="E22" i="6"/>
  <c r="F22" i="6"/>
  <c r="E23" i="6"/>
  <c r="F23" i="6"/>
  <c r="E24" i="6"/>
  <c r="F24" i="6"/>
  <c r="E25" i="6"/>
  <c r="F25" i="6"/>
  <c r="E26" i="6"/>
  <c r="F26" i="6"/>
  <c r="E27" i="6"/>
  <c r="F27" i="6"/>
  <c r="E28" i="6"/>
  <c r="F28" i="6"/>
  <c r="E29" i="6"/>
  <c r="F29" i="6"/>
  <c r="E30" i="6"/>
  <c r="F30" i="6"/>
  <c r="E31" i="6"/>
  <c r="F31" i="6"/>
  <c r="E32" i="6"/>
  <c r="F32" i="6"/>
  <c r="E33" i="6"/>
  <c r="F33" i="6"/>
  <c r="E34" i="6"/>
  <c r="F34" i="6"/>
  <c r="E35" i="6"/>
  <c r="F35" i="6"/>
  <c r="E36" i="6"/>
  <c r="F36" i="6"/>
  <c r="E37" i="6"/>
  <c r="F37" i="6"/>
  <c r="E38" i="6"/>
  <c r="F38" i="6"/>
  <c r="E39" i="6"/>
  <c r="F39" i="6"/>
  <c r="E40" i="6"/>
  <c r="F40" i="6"/>
  <c r="E41" i="6"/>
  <c r="F41" i="6"/>
  <c r="E42" i="6"/>
  <c r="J8" i="6" s="1"/>
  <c r="F42" i="6"/>
  <c r="K8" i="6" s="1"/>
  <c r="E43" i="6"/>
  <c r="F43" i="6"/>
  <c r="E44" i="6"/>
  <c r="F44" i="6"/>
  <c r="E45" i="6"/>
  <c r="F45" i="6"/>
  <c r="E46" i="6"/>
  <c r="F46" i="6"/>
  <c r="E47" i="6"/>
  <c r="F47" i="6"/>
  <c r="E48" i="6"/>
  <c r="F48" i="6"/>
  <c r="E49" i="6"/>
  <c r="F49" i="6"/>
  <c r="E50" i="6"/>
  <c r="F50" i="6"/>
  <c r="E51" i="6"/>
  <c r="F51" i="6"/>
  <c r="E52" i="6"/>
  <c r="F52" i="6"/>
  <c r="E53" i="6"/>
  <c r="F53" i="6"/>
  <c r="E54" i="6"/>
  <c r="F54" i="6"/>
  <c r="E55" i="6"/>
  <c r="F55" i="6"/>
  <c r="E56" i="6"/>
  <c r="F56" i="6"/>
  <c r="E57" i="6"/>
  <c r="F57" i="6"/>
  <c r="E58" i="6"/>
  <c r="F58" i="6"/>
  <c r="E59" i="6"/>
  <c r="F59" i="6"/>
  <c r="E60" i="6"/>
  <c r="F60" i="6"/>
  <c r="E61" i="6"/>
  <c r="F61" i="6"/>
  <c r="E62" i="6"/>
  <c r="F62" i="6"/>
  <c r="E63" i="6"/>
  <c r="F63" i="6"/>
  <c r="E64" i="6"/>
  <c r="F64" i="6"/>
  <c r="E65" i="6"/>
  <c r="F65" i="6"/>
  <c r="E66" i="6"/>
  <c r="F66" i="6"/>
  <c r="E67" i="6"/>
  <c r="F67" i="6"/>
  <c r="E68" i="6"/>
  <c r="F68" i="6"/>
  <c r="E69" i="6"/>
  <c r="F69" i="6"/>
  <c r="E70" i="6"/>
  <c r="J9" i="6" s="1"/>
  <c r="F70" i="6"/>
  <c r="K9" i="6" s="1"/>
  <c r="E71" i="6"/>
  <c r="F71" i="6"/>
  <c r="E72" i="6"/>
  <c r="F72" i="6"/>
  <c r="E73" i="6"/>
  <c r="F73" i="6"/>
  <c r="E74" i="6"/>
  <c r="F74" i="6"/>
  <c r="E75" i="6"/>
  <c r="F75" i="6"/>
  <c r="E76" i="6"/>
  <c r="F76" i="6"/>
  <c r="E77" i="6"/>
  <c r="F77" i="6"/>
  <c r="E78" i="6"/>
  <c r="F78" i="6"/>
  <c r="E79" i="6"/>
  <c r="F79" i="6"/>
  <c r="E80" i="6"/>
  <c r="F80" i="6"/>
  <c r="E81" i="6"/>
  <c r="F81" i="6"/>
  <c r="E82" i="6"/>
  <c r="F82" i="6"/>
  <c r="E83" i="6"/>
  <c r="F83" i="6"/>
  <c r="E84" i="6"/>
  <c r="F84" i="6"/>
  <c r="E85" i="6"/>
  <c r="F85" i="6"/>
  <c r="E86" i="6"/>
  <c r="F86" i="6"/>
  <c r="E87" i="6"/>
  <c r="F87" i="6"/>
  <c r="E88" i="6"/>
  <c r="F88" i="6"/>
  <c r="E89" i="6"/>
  <c r="F89" i="6"/>
  <c r="E90" i="6"/>
  <c r="F90" i="6"/>
  <c r="E91" i="6"/>
  <c r="F91" i="6"/>
  <c r="E92" i="6"/>
  <c r="F92" i="6"/>
  <c r="E93" i="6"/>
  <c r="F93" i="6"/>
  <c r="E94" i="6"/>
  <c r="F94" i="6"/>
  <c r="E95" i="6"/>
  <c r="F95" i="6"/>
  <c r="E96" i="6"/>
  <c r="F96" i="6"/>
  <c r="E97" i="6"/>
  <c r="J10" i="6" s="1"/>
  <c r="F97" i="6"/>
  <c r="K10" i="6" s="1"/>
  <c r="E98" i="6"/>
  <c r="F98" i="6"/>
  <c r="E99" i="6"/>
  <c r="F99" i="6"/>
  <c r="E100" i="6"/>
  <c r="F100" i="6"/>
  <c r="E101" i="6"/>
  <c r="F101" i="6"/>
  <c r="E102" i="6"/>
  <c r="F102" i="6"/>
  <c r="E103" i="6"/>
  <c r="F103" i="6"/>
  <c r="E104" i="6"/>
  <c r="F104" i="6"/>
  <c r="E105" i="6"/>
  <c r="F105" i="6"/>
  <c r="E106" i="6"/>
  <c r="F106" i="6"/>
  <c r="E107" i="6"/>
  <c r="F107" i="6"/>
  <c r="E108" i="6"/>
  <c r="F108" i="6"/>
  <c r="E109" i="6"/>
  <c r="F109" i="6"/>
  <c r="E110" i="6"/>
  <c r="F110" i="6"/>
  <c r="E111" i="6"/>
  <c r="F111" i="6"/>
  <c r="E112" i="6"/>
  <c r="F112" i="6"/>
  <c r="E113" i="6"/>
  <c r="F113" i="6"/>
  <c r="E114" i="6"/>
  <c r="F114" i="6"/>
  <c r="E115" i="6"/>
  <c r="F115" i="6"/>
  <c r="E116" i="6"/>
  <c r="J11" i="6" s="1"/>
  <c r="F116" i="6"/>
  <c r="K11" i="6" s="1"/>
  <c r="E117" i="6"/>
  <c r="F117" i="6"/>
  <c r="E118" i="6"/>
  <c r="F118" i="6"/>
  <c r="E119" i="6"/>
  <c r="F119" i="6"/>
  <c r="E120" i="6"/>
  <c r="F120" i="6"/>
  <c r="E121" i="6"/>
  <c r="F121" i="6"/>
  <c r="E122" i="6"/>
  <c r="F122" i="6"/>
  <c r="E123" i="6"/>
  <c r="F123" i="6"/>
  <c r="E124" i="6"/>
  <c r="F124" i="6"/>
  <c r="E125" i="6"/>
  <c r="F125" i="6"/>
  <c r="E126" i="6"/>
  <c r="F126" i="6"/>
  <c r="E127" i="6"/>
  <c r="F127" i="6"/>
  <c r="E128" i="6"/>
  <c r="F128" i="6"/>
  <c r="E129" i="6"/>
  <c r="F129" i="6"/>
  <c r="E130" i="6"/>
  <c r="F130" i="6"/>
  <c r="E131" i="6"/>
  <c r="F131" i="6"/>
  <c r="E132" i="6"/>
  <c r="F132" i="6"/>
  <c r="E133" i="6"/>
  <c r="F133" i="6"/>
  <c r="E134" i="6"/>
  <c r="J12" i="6" s="1"/>
  <c r="F134" i="6"/>
  <c r="K12" i="6" s="1"/>
  <c r="E135" i="6"/>
  <c r="F135" i="6"/>
  <c r="E136" i="6"/>
  <c r="F136" i="6"/>
  <c r="E137" i="6"/>
  <c r="F137" i="6"/>
  <c r="E138" i="6"/>
  <c r="F138" i="6"/>
  <c r="E139" i="6"/>
  <c r="F139" i="6"/>
  <c r="E140" i="6"/>
  <c r="F140" i="6"/>
  <c r="E141" i="6"/>
  <c r="F141" i="6"/>
  <c r="E142" i="6"/>
  <c r="F142" i="6"/>
  <c r="E143" i="6"/>
  <c r="F143" i="6"/>
  <c r="E144" i="6"/>
  <c r="F144" i="6"/>
  <c r="E145" i="6"/>
  <c r="F145" i="6"/>
  <c r="E146" i="6"/>
  <c r="F146" i="6"/>
  <c r="E147" i="6"/>
  <c r="F147" i="6"/>
  <c r="E148" i="6"/>
  <c r="F148" i="6"/>
  <c r="E149" i="6"/>
  <c r="F149" i="6"/>
  <c r="E150" i="6"/>
  <c r="F150" i="6"/>
  <c r="E151" i="6"/>
  <c r="F151" i="6"/>
  <c r="E152" i="6"/>
  <c r="F152" i="6"/>
  <c r="E153" i="6"/>
  <c r="F153" i="6"/>
  <c r="E154" i="6"/>
  <c r="J13" i="6" s="1"/>
  <c r="F154" i="6"/>
  <c r="K13" i="6" s="1"/>
  <c r="E155" i="6"/>
  <c r="F155" i="6"/>
  <c r="E156" i="6"/>
  <c r="F156" i="6"/>
  <c r="E157" i="6"/>
  <c r="F157" i="6"/>
  <c r="E158" i="6"/>
  <c r="F158" i="6"/>
  <c r="E159" i="6"/>
  <c r="F159" i="6"/>
  <c r="E160" i="6"/>
  <c r="F160" i="6"/>
  <c r="E161" i="6"/>
  <c r="F161" i="6"/>
  <c r="E162" i="6"/>
  <c r="F162" i="6"/>
  <c r="E163" i="6"/>
  <c r="F163" i="6"/>
  <c r="E164" i="6"/>
  <c r="F164" i="6"/>
  <c r="E165" i="6"/>
  <c r="F165" i="6"/>
  <c r="E166" i="6"/>
  <c r="F166" i="6"/>
  <c r="E167" i="6"/>
  <c r="F167" i="6"/>
  <c r="E168" i="6"/>
  <c r="F168" i="6"/>
  <c r="E169" i="6"/>
  <c r="F169" i="6"/>
  <c r="E170" i="6"/>
  <c r="F170" i="6"/>
  <c r="E171" i="6"/>
  <c r="F171" i="6"/>
  <c r="E172" i="6"/>
  <c r="F172" i="6"/>
  <c r="E173" i="6"/>
  <c r="F173" i="6"/>
  <c r="E174" i="6"/>
  <c r="F174" i="6"/>
  <c r="E175" i="6"/>
  <c r="F175" i="6"/>
  <c r="E176" i="6"/>
  <c r="F176" i="6"/>
  <c r="E177" i="6"/>
  <c r="F177" i="6"/>
  <c r="E178" i="6"/>
  <c r="F178" i="6"/>
  <c r="E179" i="6"/>
  <c r="F179" i="6"/>
  <c r="E180" i="6"/>
  <c r="F180" i="6"/>
  <c r="E181" i="6"/>
  <c r="F181" i="6"/>
  <c r="E182" i="6"/>
  <c r="F182" i="6"/>
  <c r="E183" i="6"/>
  <c r="F183" i="6"/>
  <c r="E184" i="6"/>
  <c r="F184" i="6"/>
  <c r="E185" i="6"/>
  <c r="F185" i="6"/>
  <c r="E186" i="6"/>
  <c r="F186" i="6"/>
  <c r="E187" i="6"/>
  <c r="F187" i="6"/>
  <c r="E188" i="6"/>
  <c r="F188" i="6"/>
  <c r="E189" i="6"/>
  <c r="F189" i="6"/>
  <c r="E190" i="6"/>
  <c r="F190" i="6"/>
  <c r="E191" i="6"/>
  <c r="F191" i="6"/>
  <c r="E6" i="5"/>
  <c r="F6" i="5"/>
  <c r="E7" i="5"/>
  <c r="F7" i="5"/>
  <c r="E8" i="5"/>
  <c r="F8" i="5"/>
  <c r="E9" i="5"/>
  <c r="F9" i="5"/>
  <c r="E10" i="5"/>
  <c r="F10" i="5"/>
  <c r="E11" i="5"/>
  <c r="F11" i="5"/>
  <c r="E12" i="5"/>
  <c r="F12" i="5"/>
  <c r="E13" i="5"/>
  <c r="F13" i="5"/>
  <c r="E14" i="5"/>
  <c r="F14" i="5"/>
  <c r="E15" i="5"/>
  <c r="F15" i="5"/>
  <c r="E16" i="5"/>
  <c r="F16" i="5"/>
  <c r="E17" i="5"/>
  <c r="J6" i="5" s="1"/>
  <c r="F17" i="5"/>
  <c r="K6" i="5" s="1"/>
  <c r="E18" i="5"/>
  <c r="F18" i="5"/>
  <c r="E19" i="5"/>
  <c r="F19" i="5"/>
  <c r="E20" i="5"/>
  <c r="F20" i="5"/>
  <c r="E21" i="5"/>
  <c r="F21" i="5"/>
  <c r="E22" i="5"/>
  <c r="F22" i="5"/>
  <c r="E23" i="5"/>
  <c r="F23" i="5"/>
  <c r="E24" i="5"/>
  <c r="F24" i="5"/>
  <c r="E25" i="5"/>
  <c r="F25" i="5"/>
  <c r="E26" i="5"/>
  <c r="F26" i="5"/>
  <c r="E27" i="5"/>
  <c r="F27" i="5"/>
  <c r="E28" i="5"/>
  <c r="J7" i="5" s="1"/>
  <c r="F28" i="5"/>
  <c r="K7" i="5" s="1"/>
  <c r="E29" i="5"/>
  <c r="F29" i="5"/>
  <c r="E30" i="5"/>
  <c r="F30" i="5"/>
  <c r="E31" i="5"/>
  <c r="F31" i="5"/>
  <c r="E32" i="5"/>
  <c r="F32" i="5"/>
  <c r="E33" i="5"/>
  <c r="F33" i="5"/>
  <c r="E34" i="5"/>
  <c r="F34" i="5"/>
  <c r="E35" i="5"/>
  <c r="F35" i="5"/>
  <c r="E36" i="5"/>
  <c r="F36" i="5"/>
  <c r="E37" i="5"/>
  <c r="F37" i="5"/>
  <c r="E38" i="5"/>
  <c r="F38" i="5"/>
  <c r="E39" i="5"/>
  <c r="F39" i="5"/>
  <c r="E40" i="5"/>
  <c r="F40" i="5"/>
  <c r="E41" i="5"/>
  <c r="F41" i="5"/>
  <c r="E42" i="5"/>
  <c r="F42" i="5"/>
  <c r="E43" i="5"/>
  <c r="F43" i="5"/>
  <c r="E44" i="5"/>
  <c r="F44" i="5"/>
  <c r="E45" i="5"/>
  <c r="F45" i="5"/>
  <c r="E46" i="5"/>
  <c r="F46" i="5"/>
  <c r="E47" i="5"/>
  <c r="F47" i="5"/>
  <c r="E48" i="5"/>
  <c r="F48" i="5"/>
  <c r="E49" i="5"/>
  <c r="F49" i="5"/>
  <c r="E50" i="5"/>
  <c r="F50" i="5"/>
  <c r="E51" i="5"/>
  <c r="J8" i="5" s="1"/>
  <c r="F51" i="5"/>
  <c r="K8" i="5" s="1"/>
  <c r="E52" i="5"/>
  <c r="F52" i="5"/>
  <c r="E53" i="5"/>
  <c r="F53" i="5"/>
  <c r="E54" i="5"/>
  <c r="F54" i="5"/>
  <c r="E55" i="5"/>
  <c r="F55" i="5"/>
  <c r="E56" i="5"/>
  <c r="F56" i="5"/>
  <c r="E57" i="5"/>
  <c r="F57" i="5"/>
  <c r="E58" i="5"/>
  <c r="F58" i="5"/>
  <c r="E59" i="5"/>
  <c r="F59" i="5"/>
  <c r="E60" i="5"/>
  <c r="F60" i="5"/>
  <c r="E61" i="5"/>
  <c r="F61" i="5"/>
  <c r="E62" i="5"/>
  <c r="F62" i="5"/>
  <c r="E63" i="5"/>
  <c r="F63" i="5"/>
  <c r="E64" i="5"/>
  <c r="F64" i="5"/>
  <c r="E65" i="5"/>
  <c r="F65" i="5"/>
  <c r="E66" i="5"/>
  <c r="F66" i="5"/>
  <c r="E67" i="5"/>
  <c r="F67" i="5"/>
  <c r="E68" i="5"/>
  <c r="F68" i="5"/>
  <c r="E69" i="5"/>
  <c r="F69" i="5"/>
  <c r="E70" i="5"/>
  <c r="F70" i="5"/>
  <c r="E71" i="5"/>
  <c r="F71" i="5"/>
  <c r="E72" i="5"/>
  <c r="F72" i="5"/>
  <c r="E73" i="5"/>
  <c r="F73" i="5"/>
  <c r="E74" i="5"/>
  <c r="F74" i="5"/>
  <c r="E75" i="5"/>
  <c r="F75" i="5"/>
  <c r="E76" i="5"/>
  <c r="J9" i="5" s="1"/>
  <c r="F76" i="5"/>
  <c r="K9" i="5" s="1"/>
  <c r="E77" i="5"/>
  <c r="F77" i="5"/>
  <c r="E78" i="5"/>
  <c r="F78" i="5"/>
  <c r="E79" i="5"/>
  <c r="F79" i="5"/>
  <c r="E80" i="5"/>
  <c r="F80" i="5"/>
  <c r="E81" i="5"/>
  <c r="F81" i="5"/>
  <c r="E82" i="5"/>
  <c r="F82" i="5"/>
  <c r="E83" i="5"/>
  <c r="F83" i="5"/>
  <c r="E84" i="5"/>
  <c r="F84" i="5"/>
  <c r="E85" i="5"/>
  <c r="F85" i="5"/>
  <c r="E86" i="5"/>
  <c r="F86" i="5"/>
  <c r="E87" i="5"/>
  <c r="F87" i="5"/>
  <c r="E88" i="5"/>
  <c r="F88" i="5"/>
  <c r="E89" i="5"/>
  <c r="F89" i="5"/>
  <c r="E90" i="5"/>
  <c r="F90" i="5"/>
  <c r="E91" i="5"/>
  <c r="F91" i="5"/>
  <c r="E92" i="5"/>
  <c r="F92" i="5"/>
  <c r="E93" i="5"/>
  <c r="F93" i="5"/>
  <c r="E94" i="5"/>
  <c r="F94" i="5"/>
  <c r="E95" i="5"/>
  <c r="F95" i="5"/>
  <c r="E96" i="5"/>
  <c r="J10" i="5" s="1"/>
  <c r="F96" i="5"/>
  <c r="K10" i="5" s="1"/>
  <c r="E97" i="5"/>
  <c r="F97" i="5"/>
  <c r="E98" i="5"/>
  <c r="F98" i="5"/>
  <c r="E99" i="5"/>
  <c r="F99" i="5"/>
  <c r="E100" i="5"/>
  <c r="F100" i="5"/>
  <c r="E101" i="5"/>
  <c r="F101" i="5"/>
  <c r="E102" i="5"/>
  <c r="F102" i="5"/>
  <c r="E103" i="5"/>
  <c r="F103" i="5"/>
  <c r="E104" i="5"/>
  <c r="F104" i="5"/>
  <c r="E105" i="5"/>
  <c r="F105" i="5"/>
  <c r="E106" i="5"/>
  <c r="F106" i="5"/>
  <c r="E107" i="5"/>
  <c r="F107" i="5"/>
  <c r="E108" i="5"/>
  <c r="F108" i="5"/>
  <c r="E109" i="5"/>
  <c r="F109" i="5"/>
  <c r="E110" i="5"/>
  <c r="F110" i="5"/>
  <c r="E111" i="5"/>
  <c r="F111" i="5"/>
  <c r="E112" i="5"/>
  <c r="F112" i="5"/>
  <c r="E113" i="5"/>
  <c r="F113" i="5"/>
  <c r="E114" i="5"/>
  <c r="F114" i="5"/>
  <c r="E115" i="5"/>
  <c r="F115" i="5"/>
  <c r="E116" i="5"/>
  <c r="F116" i="5"/>
  <c r="E117" i="5"/>
  <c r="J11" i="5" s="1"/>
  <c r="F117" i="5"/>
  <c r="K11" i="5" s="1"/>
  <c r="E118" i="5"/>
  <c r="F118" i="5"/>
  <c r="E119" i="5"/>
  <c r="F119" i="5"/>
  <c r="E120" i="5"/>
  <c r="F120" i="5"/>
  <c r="E121" i="5"/>
  <c r="F121" i="5"/>
  <c r="E122" i="5"/>
  <c r="F122" i="5"/>
  <c r="E123" i="5"/>
  <c r="F123" i="5"/>
  <c r="E124" i="5"/>
  <c r="F124" i="5"/>
  <c r="E125" i="5"/>
  <c r="F125" i="5"/>
  <c r="E126" i="5"/>
  <c r="F126" i="5"/>
  <c r="E127" i="5"/>
  <c r="F127" i="5"/>
  <c r="E128" i="5"/>
  <c r="F128" i="5"/>
  <c r="E129" i="5"/>
  <c r="F129" i="5"/>
  <c r="E130" i="5"/>
  <c r="F130" i="5"/>
  <c r="E131" i="5"/>
  <c r="F131" i="5"/>
  <c r="E132" i="5"/>
  <c r="F132" i="5"/>
  <c r="E133" i="5"/>
  <c r="F133" i="5"/>
  <c r="E134" i="5"/>
  <c r="F134" i="5"/>
  <c r="E135" i="5"/>
  <c r="F135" i="5"/>
  <c r="E136" i="5"/>
  <c r="J12" i="5" s="1"/>
  <c r="F136" i="5"/>
  <c r="K12" i="5" s="1"/>
  <c r="E137" i="5"/>
  <c r="F137" i="5"/>
  <c r="E138" i="5"/>
  <c r="F138" i="5"/>
  <c r="E139" i="5"/>
  <c r="F139" i="5"/>
  <c r="E140" i="5"/>
  <c r="F140" i="5"/>
  <c r="E141" i="5"/>
  <c r="F141" i="5"/>
  <c r="E142" i="5"/>
  <c r="F142" i="5"/>
  <c r="E143" i="5"/>
  <c r="F143" i="5"/>
  <c r="E144" i="5"/>
  <c r="F144" i="5"/>
  <c r="E145" i="5"/>
  <c r="F145" i="5"/>
  <c r="E146" i="5"/>
  <c r="F146" i="5"/>
  <c r="E147" i="5"/>
  <c r="F147" i="5"/>
  <c r="E148" i="5"/>
  <c r="F148" i="5"/>
  <c r="E149" i="5"/>
  <c r="F149" i="5"/>
  <c r="E150" i="5"/>
  <c r="F150" i="5"/>
  <c r="E151" i="5"/>
  <c r="F151" i="5"/>
  <c r="E152" i="5"/>
  <c r="F152" i="5"/>
  <c r="E153" i="5"/>
  <c r="F153" i="5"/>
  <c r="E154" i="5"/>
  <c r="F154" i="5"/>
  <c r="E155" i="5"/>
  <c r="F155" i="5"/>
  <c r="E156" i="5"/>
  <c r="F156" i="5"/>
  <c r="E157" i="5"/>
  <c r="F157" i="5"/>
  <c r="E158" i="5"/>
  <c r="J13" i="5" s="1"/>
  <c r="F158" i="5"/>
  <c r="K13" i="5" s="1"/>
  <c r="E159" i="5"/>
  <c r="F159" i="5"/>
  <c r="E160" i="5"/>
  <c r="F160" i="5"/>
  <c r="E161" i="5"/>
  <c r="F161" i="5"/>
  <c r="E162" i="5"/>
  <c r="F162" i="5"/>
  <c r="E163" i="5"/>
  <c r="F163" i="5"/>
  <c r="E164" i="5"/>
  <c r="F164" i="5"/>
  <c r="E165" i="5"/>
  <c r="F165" i="5"/>
  <c r="E166" i="5"/>
  <c r="F166" i="5"/>
  <c r="E167" i="5"/>
  <c r="F167" i="5"/>
  <c r="E168" i="5"/>
  <c r="F168" i="5"/>
  <c r="E169" i="5"/>
  <c r="F169" i="5"/>
  <c r="E170" i="5"/>
  <c r="F170" i="5"/>
  <c r="E171" i="5"/>
  <c r="F171" i="5"/>
  <c r="E172" i="5"/>
  <c r="F172" i="5"/>
  <c r="E173" i="5"/>
  <c r="F173" i="5"/>
  <c r="E174" i="5"/>
  <c r="F174" i="5"/>
  <c r="E175" i="5"/>
  <c r="F175" i="5"/>
  <c r="E176" i="5"/>
  <c r="F176" i="5"/>
  <c r="E177" i="5"/>
  <c r="F177" i="5"/>
  <c r="E178" i="5"/>
  <c r="F178" i="5"/>
  <c r="E179" i="5"/>
  <c r="F179" i="5"/>
  <c r="E180" i="5"/>
  <c r="F180" i="5"/>
  <c r="E181" i="5"/>
  <c r="F181" i="5"/>
  <c r="E182" i="5"/>
  <c r="F182" i="5"/>
  <c r="E183" i="5"/>
  <c r="F183" i="5"/>
  <c r="E184" i="5"/>
  <c r="F184" i="5"/>
  <c r="E185" i="5"/>
  <c r="F185" i="5"/>
  <c r="E186" i="5"/>
  <c r="F186" i="5"/>
  <c r="E187" i="5"/>
  <c r="F187" i="5"/>
  <c r="E188" i="5"/>
  <c r="F188" i="5"/>
  <c r="E189" i="5"/>
  <c r="F189" i="5"/>
  <c r="E190" i="5"/>
  <c r="F190" i="5"/>
  <c r="E191" i="5"/>
  <c r="F191" i="5"/>
  <c r="E192" i="5"/>
  <c r="F192" i="5"/>
  <c r="E6" i="4"/>
  <c r="F6" i="4"/>
  <c r="E7" i="4"/>
  <c r="F7" i="4"/>
  <c r="E8" i="4"/>
  <c r="F8" i="4"/>
  <c r="E9" i="4"/>
  <c r="F9" i="4"/>
  <c r="E10" i="4"/>
  <c r="F10" i="4"/>
  <c r="E11" i="4"/>
  <c r="F11" i="4"/>
  <c r="E12" i="4"/>
  <c r="J6" i="4" s="1"/>
  <c r="F12" i="4"/>
  <c r="K6" i="4" s="1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J7" i="4" s="1"/>
  <c r="F24" i="4"/>
  <c r="K7" i="4" s="1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J8" i="4" s="1"/>
  <c r="F42" i="4"/>
  <c r="K8" i="4" s="1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J9" i="4" s="1"/>
  <c r="F67" i="4"/>
  <c r="K9" i="4" s="1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E86" i="4"/>
  <c r="F86" i="4"/>
  <c r="E87" i="4"/>
  <c r="F87" i="4"/>
  <c r="E88" i="4"/>
  <c r="F88" i="4"/>
  <c r="E89" i="4"/>
  <c r="F89" i="4"/>
  <c r="E90" i="4"/>
  <c r="J10" i="4" s="1"/>
  <c r="F90" i="4"/>
  <c r="K10" i="4" s="1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E101" i="4"/>
  <c r="F101" i="4"/>
  <c r="E102" i="4"/>
  <c r="F102" i="4"/>
  <c r="E103" i="4"/>
  <c r="F103" i="4"/>
  <c r="E104" i="4"/>
  <c r="F104" i="4"/>
  <c r="E105" i="4"/>
  <c r="J11" i="4" s="1"/>
  <c r="F105" i="4"/>
  <c r="K11" i="4" s="1"/>
  <c r="E106" i="4"/>
  <c r="F106" i="4"/>
  <c r="E107" i="4"/>
  <c r="F107" i="4"/>
  <c r="E108" i="4"/>
  <c r="F108" i="4"/>
  <c r="E109" i="4"/>
  <c r="F109" i="4"/>
  <c r="E110" i="4"/>
  <c r="F110" i="4"/>
  <c r="E111" i="4"/>
  <c r="F111" i="4"/>
  <c r="E112" i="4"/>
  <c r="F112" i="4"/>
  <c r="E113" i="4"/>
  <c r="F113" i="4"/>
  <c r="E114" i="4"/>
  <c r="F114" i="4"/>
  <c r="E115" i="4"/>
  <c r="F115" i="4"/>
  <c r="E116" i="4"/>
  <c r="F116" i="4"/>
  <c r="E117" i="4"/>
  <c r="F117" i="4"/>
  <c r="E118" i="4"/>
  <c r="F118" i="4"/>
  <c r="E119" i="4"/>
  <c r="F119" i="4"/>
  <c r="E120" i="4"/>
  <c r="F120" i="4"/>
  <c r="E121" i="4"/>
  <c r="F121" i="4"/>
  <c r="E122" i="4"/>
  <c r="J12" i="4" s="1"/>
  <c r="F122" i="4"/>
  <c r="K12" i="4" s="1"/>
  <c r="E123" i="4"/>
  <c r="F123" i="4"/>
  <c r="E124" i="4"/>
  <c r="F124" i="4"/>
  <c r="E125" i="4"/>
  <c r="F125" i="4"/>
  <c r="E126" i="4"/>
  <c r="F126" i="4"/>
  <c r="E127" i="4"/>
  <c r="F127" i="4"/>
  <c r="E128" i="4"/>
  <c r="F128" i="4"/>
  <c r="E129" i="4"/>
  <c r="F129" i="4"/>
  <c r="E130" i="4"/>
  <c r="F130" i="4"/>
  <c r="E131" i="4"/>
  <c r="F131" i="4"/>
  <c r="E132" i="4"/>
  <c r="F132" i="4"/>
  <c r="E133" i="4"/>
  <c r="F133" i="4"/>
  <c r="E134" i="4"/>
  <c r="F134" i="4"/>
  <c r="E135" i="4"/>
  <c r="F135" i="4"/>
  <c r="E136" i="4"/>
  <c r="F136" i="4"/>
  <c r="E137" i="4"/>
  <c r="F137" i="4"/>
  <c r="E138" i="4"/>
  <c r="F138" i="4"/>
  <c r="E139" i="4"/>
  <c r="F139" i="4"/>
  <c r="E140" i="4"/>
  <c r="F140" i="4"/>
  <c r="E141" i="4"/>
  <c r="F141" i="4"/>
  <c r="E142" i="4"/>
  <c r="F142" i="4"/>
  <c r="E143" i="4"/>
  <c r="J13" i="4" s="1"/>
  <c r="F143" i="4"/>
  <c r="K13" i="4" s="1"/>
  <c r="E144" i="4"/>
  <c r="F144" i="4"/>
  <c r="E145" i="4"/>
  <c r="F145" i="4"/>
  <c r="E146" i="4"/>
  <c r="F146" i="4"/>
  <c r="E147" i="4"/>
  <c r="F147" i="4"/>
  <c r="E148" i="4"/>
  <c r="F148" i="4"/>
  <c r="E149" i="4"/>
  <c r="F149" i="4"/>
  <c r="E150" i="4"/>
  <c r="F150" i="4"/>
  <c r="E151" i="4"/>
  <c r="F151" i="4"/>
  <c r="E152" i="4"/>
  <c r="F152" i="4"/>
  <c r="E153" i="4"/>
  <c r="F153" i="4"/>
  <c r="E154" i="4"/>
  <c r="F154" i="4"/>
  <c r="E155" i="4"/>
  <c r="F155" i="4"/>
  <c r="E156" i="4"/>
  <c r="F156" i="4"/>
  <c r="E157" i="4"/>
  <c r="F157" i="4"/>
  <c r="E158" i="4"/>
  <c r="F158" i="4"/>
  <c r="E159" i="4"/>
  <c r="F159" i="4"/>
  <c r="E160" i="4"/>
  <c r="F160" i="4"/>
  <c r="E161" i="4"/>
  <c r="F161" i="4"/>
  <c r="E162" i="4"/>
  <c r="F162" i="4"/>
  <c r="E163" i="4"/>
  <c r="F163" i="4"/>
  <c r="E164" i="4"/>
  <c r="F164" i="4"/>
  <c r="E165" i="4"/>
  <c r="F165" i="4"/>
  <c r="E166" i="4"/>
  <c r="F166" i="4"/>
  <c r="E167" i="4"/>
  <c r="F167" i="4"/>
  <c r="E6" i="3"/>
  <c r="F6" i="3"/>
  <c r="E7" i="3"/>
  <c r="F7" i="3"/>
  <c r="E8" i="3"/>
  <c r="F8" i="3"/>
  <c r="E9" i="3"/>
  <c r="F9" i="3"/>
  <c r="E10" i="3"/>
  <c r="F10" i="3"/>
  <c r="E11" i="3"/>
  <c r="J6" i="3" s="1"/>
  <c r="F11" i="3"/>
  <c r="K6" i="3" s="1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J7" i="3" s="1"/>
  <c r="F23" i="3"/>
  <c r="K7" i="3" s="1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J8" i="3" s="1"/>
  <c r="F35" i="3"/>
  <c r="K8" i="3" s="1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J9" i="3" s="1"/>
  <c r="F55" i="3"/>
  <c r="K9" i="3" s="1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J10" i="3" s="1"/>
  <c r="F71" i="3"/>
  <c r="K10" i="3" s="1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J11" i="3" s="1"/>
  <c r="F87" i="3"/>
  <c r="K11" i="3" s="1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J12" i="3" s="1"/>
  <c r="F100" i="3"/>
  <c r="E101" i="3"/>
  <c r="F101" i="3"/>
  <c r="K12" i="3" s="1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J13" i="3" s="1"/>
  <c r="F117" i="3"/>
  <c r="K13" i="3" s="1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J14" i="3" s="1"/>
  <c r="F130" i="3"/>
  <c r="K14" i="3" s="1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6" i="2"/>
  <c r="J5" i="2" s="1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J6" i="2" s="1"/>
  <c r="F14" i="2"/>
  <c r="E15" i="2"/>
  <c r="F15" i="2"/>
  <c r="K6" i="2" s="1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J7" i="2" s="1"/>
  <c r="F23" i="2"/>
  <c r="K7" i="2" s="1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J8" i="2" s="1"/>
  <c r="F33" i="2"/>
  <c r="K8" i="2" s="1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J9" i="2" s="1"/>
  <c r="F48" i="2"/>
  <c r="K9" i="2" s="1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J10" i="2" s="1"/>
  <c r="F61" i="2"/>
  <c r="K10" i="2" s="1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J11" i="2" s="1"/>
  <c r="F78" i="2"/>
  <c r="E79" i="2"/>
  <c r="F79" i="2"/>
  <c r="K11" i="2" s="1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J12" i="2" s="1"/>
  <c r="F92" i="2"/>
  <c r="E93" i="2"/>
  <c r="F93" i="2"/>
  <c r="K12" i="2" s="1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J13" i="2" s="1"/>
  <c r="F113" i="2"/>
  <c r="K13" i="2" s="1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J14" i="2" s="1"/>
  <c r="F133" i="2"/>
  <c r="K14" i="2" s="1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F5" i="6"/>
  <c r="K5" i="6" s="1"/>
  <c r="E5" i="6"/>
  <c r="J5" i="6" s="1"/>
  <c r="F5" i="5"/>
  <c r="K5" i="5" s="1"/>
  <c r="E5" i="5"/>
  <c r="J5" i="5" s="1"/>
  <c r="F5" i="4"/>
  <c r="K5" i="4" s="1"/>
  <c r="E5" i="4"/>
  <c r="J5" i="4" s="1"/>
  <c r="F5" i="3"/>
  <c r="K5" i="3" s="1"/>
  <c r="E5" i="3"/>
  <c r="J5" i="3" s="1"/>
  <c r="F5" i="2"/>
  <c r="K5" i="2" s="1"/>
  <c r="E5" i="2"/>
  <c r="E6" i="1"/>
  <c r="J5" i="1" s="1"/>
  <c r="F6" i="1"/>
  <c r="E7" i="1"/>
  <c r="F7" i="1"/>
  <c r="E8" i="1"/>
  <c r="F8" i="1"/>
  <c r="E9" i="1"/>
  <c r="F9" i="1"/>
  <c r="E10" i="1"/>
  <c r="F10" i="1"/>
  <c r="E11" i="1"/>
  <c r="J6" i="1" s="1"/>
  <c r="F11" i="1"/>
  <c r="K6" i="1" s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J7" i="1" s="1"/>
  <c r="F21" i="1"/>
  <c r="K7" i="1" s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J8" i="1" s="1"/>
  <c r="F30" i="1"/>
  <c r="K8" i="1" s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J9" i="1" s="1"/>
  <c r="F48" i="1"/>
  <c r="K9" i="1" s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J10" i="1" s="1"/>
  <c r="F63" i="1"/>
  <c r="E64" i="1"/>
  <c r="F64" i="1"/>
  <c r="K10" i="1" s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J11" i="1" s="1"/>
  <c r="F84" i="1"/>
  <c r="K11" i="1" s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J12" i="1" s="1"/>
  <c r="F97" i="1"/>
  <c r="E98" i="1"/>
  <c r="F98" i="1"/>
  <c r="K12" i="1" s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K13" i="1" s="1"/>
  <c r="E117" i="1"/>
  <c r="J13" i="1" s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J14" i="1" s="1"/>
  <c r="F135" i="1"/>
  <c r="K14" i="1" s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F5" i="1"/>
  <c r="K5" i="1" s="1"/>
  <c r="E5" i="1"/>
</calcChain>
</file>

<file path=xl/sharedStrings.xml><?xml version="1.0" encoding="utf-8"?>
<sst xmlns="http://schemas.openxmlformats.org/spreadsheetml/2006/main" count="117" uniqueCount="20">
  <si>
    <t>Day</t>
  </si>
  <si>
    <t>R</t>
  </si>
  <si>
    <t>ɸ</t>
  </si>
  <si>
    <t>η</t>
  </si>
  <si>
    <t xml:space="preserve">Cell Line: </t>
  </si>
  <si>
    <t>983b</t>
  </si>
  <si>
    <t>Initial Seeding Density</t>
  </si>
  <si>
    <t>10000 cells</t>
  </si>
  <si>
    <t>5000 cells</t>
  </si>
  <si>
    <t>2500 cells</t>
  </si>
  <si>
    <t>793b</t>
  </si>
  <si>
    <t>Necrotic Radius</t>
  </si>
  <si>
    <t>Inhibited Radius</t>
  </si>
  <si>
    <t>Average Radius</t>
  </si>
  <si>
    <t xml:space="preserve">Average Inhibited Radius </t>
  </si>
  <si>
    <t>Average Necrotic Radius</t>
  </si>
  <si>
    <t>Average Inhibited Radius</t>
  </si>
  <si>
    <t>5,000 cells initial seeding density</t>
  </si>
  <si>
    <t>10,000 cells initial seeding density</t>
  </si>
  <si>
    <t>2,500 cells initial seeding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</si>
</sst>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7" xfId="0" applyFont="1" applyFill="1" applyBorder="1"/>
    <xf numFmtId="2" fontId="0" fillId="2" borderId="8" xfId="0" applyNumberFormat="1" applyFill="1" applyBorder="1"/>
    <xf numFmtId="0" fontId="1" fillId="2" borderId="4" xfId="0" applyFont="1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Summary!$C$8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Summary!$B$9:$B$18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Summary!$C$9:$C$18</c:f>
              <c:numCache>
                <c:formatCode>0.00</c:formatCode>
                <c:ptCount val="10"/>
                <c:pt idx="0">
                  <c:v>222.52586219543915</c:v>
                </c:pt>
                <c:pt idx="1">
                  <c:v>278.98756321925032</c:v>
                </c:pt>
                <c:pt idx="2">
                  <c:v>260.72078210125153</c:v>
                </c:pt>
                <c:pt idx="3">
                  <c:v>288.5806816415066</c:v>
                </c:pt>
                <c:pt idx="4">
                  <c:v>316.90941369151409</c:v>
                </c:pt>
                <c:pt idx="5">
                  <c:v>328.00163296036999</c:v>
                </c:pt>
                <c:pt idx="6">
                  <c:v>356.43775465648383</c:v>
                </c:pt>
                <c:pt idx="7">
                  <c:v>348.75839348037954</c:v>
                </c:pt>
                <c:pt idx="8">
                  <c:v>355.82596479963905</c:v>
                </c:pt>
                <c:pt idx="9">
                  <c:v>328.97815403238286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4-B54A-A6ED-E272448736C4}"/>
            </c:ext>
          </c:extLst>
        </c:ser>
        <c:ser>
          <c:idx val="1"/>
          <c:order val="1"/>
          <c:tx>
            <c:strRef>
              <c:f>Summary!$D$8</c:f>
              <c:strCache>
                <c:ptCount val="1"/>
                <c:pt idx="0">
                  <c:v>Average Inhibited Radius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Summary!$B$9:$B$18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Summary!$D$9:$D$18</c:f>
              <c:numCache>
                <c:formatCode>0.00</c:formatCode>
                <c:ptCount val="10"/>
                <c:pt idx="0">
                  <c:v>16.374156073809988</c:v>
                </c:pt>
                <c:pt idx="1">
                  <c:v>72.592695524199968</c:v>
                </c:pt>
                <c:pt idx="2">
                  <c:v>153.07746154876367</c:v>
                </c:pt>
                <c:pt idx="3">
                  <c:v>230.00736118318113</c:v>
                </c:pt>
                <c:pt idx="4">
                  <c:v>273.78977362216557</c:v>
                </c:pt>
                <c:pt idx="5">
                  <c:v>283.84119896862046</c:v>
                </c:pt>
                <c:pt idx="6">
                  <c:v>315.98061682518374</c:v>
                </c:pt>
                <c:pt idx="7">
                  <c:v>312.80415276278046</c:v>
                </c:pt>
                <c:pt idx="8">
                  <c:v>320.51139465357056</c:v>
                </c:pt>
                <c:pt idx="9">
                  <c:v>291.61760993226272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94-B54A-A6ED-E272448736C4}"/>
            </c:ext>
          </c:extLst>
        </c:ser>
        <c:ser>
          <c:idx val="2"/>
          <c:order val="2"/>
          <c:tx>
            <c:strRef>
              <c:f>Summary!$E$8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Summary!$B$9:$B$18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Summary!$E$9:$E$18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79.336024042800034</c:v>
                </c:pt>
                <c:pt idx="3">
                  <c:v>118.05682133157022</c:v>
                </c:pt>
                <c:pt idx="4">
                  <c:v>165.68859492018325</c:v>
                </c:pt>
                <c:pt idx="5">
                  <c:v>198.48504553340541</c:v>
                </c:pt>
                <c:pt idx="6">
                  <c:v>227.9361064775571</c:v>
                </c:pt>
                <c:pt idx="7">
                  <c:v>241.70944858014172</c:v>
                </c:pt>
                <c:pt idx="8">
                  <c:v>263.61500255207727</c:v>
                </c:pt>
                <c:pt idx="9">
                  <c:v>267.65750243030641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94-B54A-A6ED-E27244873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711296"/>
        <c:axId val="2097850208"/>
      </c:scatterChart>
      <c:valAx>
        <c:axId val="54271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850208"/>
        <c:crosses val="autoZero"/>
        <c:crossBetween val="midCat"/>
      </c:valAx>
      <c:valAx>
        <c:axId val="20978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71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Summary!$I$8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Summary!$H$9:$H$18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Summary!$I$9:$I$18</c:f>
              <c:numCache>
                <c:formatCode>0.00</c:formatCode>
                <c:ptCount val="10"/>
                <c:pt idx="0">
                  <c:v>182.48780870655335</c:v>
                </c:pt>
                <c:pt idx="1">
                  <c:v>217.34103642158297</c:v>
                </c:pt>
                <c:pt idx="2">
                  <c:v>216.2950448381886</c:v>
                </c:pt>
                <c:pt idx="3">
                  <c:v>254.60623867498438</c:v>
                </c:pt>
                <c:pt idx="4">
                  <c:v>301.04124568687735</c:v>
                </c:pt>
                <c:pt idx="5">
                  <c:v>308.0041055919196</c:v>
                </c:pt>
                <c:pt idx="6">
                  <c:v>326.03795952983813</c:v>
                </c:pt>
                <c:pt idx="7">
                  <c:v>346.82434602587847</c:v>
                </c:pt>
                <c:pt idx="8">
                  <c:v>352.6376630067009</c:v>
                </c:pt>
                <c:pt idx="9">
                  <c:v>341.70620237278729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6C-F142-ABBF-511D9E9754A7}"/>
            </c:ext>
          </c:extLst>
        </c:ser>
        <c:ser>
          <c:idx val="1"/>
          <c:order val="1"/>
          <c:tx>
            <c:strRef>
              <c:f>Summary!$J$8</c:f>
              <c:strCache>
                <c:ptCount val="1"/>
                <c:pt idx="0">
                  <c:v>Average Inhibited Radius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Summary!$H$9:$H$18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Summary!$J$9:$J$18</c:f>
              <c:numCache>
                <c:formatCode>0.00</c:formatCode>
                <c:ptCount val="10"/>
                <c:pt idx="0">
                  <c:v>4.908799549325308</c:v>
                </c:pt>
                <c:pt idx="1">
                  <c:v>4.3887751785062115</c:v>
                </c:pt>
                <c:pt idx="2">
                  <c:v>82.667079518318744</c:v>
                </c:pt>
                <c:pt idx="3">
                  <c:v>175.1958128990978</c:v>
                </c:pt>
                <c:pt idx="4">
                  <c:v>247.87799302581701</c:v>
                </c:pt>
                <c:pt idx="5">
                  <c:v>257.20236631799531</c:v>
                </c:pt>
                <c:pt idx="6">
                  <c:v>285.14853672201974</c:v>
                </c:pt>
                <c:pt idx="7">
                  <c:v>308.19241760315072</c:v>
                </c:pt>
                <c:pt idx="8">
                  <c:v>315.77918391838273</c:v>
                </c:pt>
                <c:pt idx="9">
                  <c:v>310.43808936408607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6C-F142-ABBF-511D9E9754A7}"/>
            </c:ext>
          </c:extLst>
        </c:ser>
        <c:ser>
          <c:idx val="2"/>
          <c:order val="2"/>
          <c:tx>
            <c:strRef>
              <c:f>Summary!$K$8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Summary!$H$9:$H$18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Summary!$K$9:$K$18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54.619573194383527</c:v>
                </c:pt>
                <c:pt idx="4">
                  <c:v>131.87806748226649</c:v>
                </c:pt>
                <c:pt idx="5">
                  <c:v>164.57050787965136</c:v>
                </c:pt>
                <c:pt idx="6">
                  <c:v>196.58833428241957</c:v>
                </c:pt>
                <c:pt idx="7">
                  <c:v>225.54133678890156</c:v>
                </c:pt>
                <c:pt idx="8">
                  <c:v>252.63642095743603</c:v>
                </c:pt>
                <c:pt idx="9">
                  <c:v>272.15822288207966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6C-F142-ABBF-511D9E975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975920"/>
        <c:axId val="2013602720"/>
      </c:scatterChart>
      <c:valAx>
        <c:axId val="43697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602720"/>
        <c:crosses val="autoZero"/>
        <c:crossBetween val="midCat"/>
      </c:valAx>
      <c:valAx>
        <c:axId val="20136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75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Summary!$O$8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Summary!$N$9:$N$18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Summary!$O$9:$O$18</c:f>
              <c:numCache>
                <c:formatCode>0.00</c:formatCode>
                <c:ptCount val="10"/>
                <c:pt idx="0">
                  <c:v>155.70217264390985</c:v>
                </c:pt>
                <c:pt idx="1">
                  <c:v>172.794763700191</c:v>
                </c:pt>
                <c:pt idx="2">
                  <c:v>184.17207923115851</c:v>
                </c:pt>
                <c:pt idx="3">
                  <c:v>222.7129470901929</c:v>
                </c:pt>
                <c:pt idx="4">
                  <c:v>271.51331180633019</c:v>
                </c:pt>
                <c:pt idx="5">
                  <c:v>277.72255378855556</c:v>
                </c:pt>
                <c:pt idx="6">
                  <c:v>313.16003378782523</c:v>
                </c:pt>
                <c:pt idx="7">
                  <c:v>331.85416198236243</c:v>
                </c:pt>
                <c:pt idx="8">
                  <c:v>329.86538022212358</c:v>
                </c:pt>
                <c:pt idx="9">
                  <c:v>338.17566341552134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1-C340-844F-3906CFBFEA40}"/>
            </c:ext>
          </c:extLst>
        </c:ser>
        <c:ser>
          <c:idx val="1"/>
          <c:order val="1"/>
          <c:tx>
            <c:strRef>
              <c:f>Summary!$P$8</c:f>
              <c:strCache>
                <c:ptCount val="1"/>
                <c:pt idx="0">
                  <c:v>Average Inhibited Radius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Summary!$N$9:$N$18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Summary!$P$9:$P$18</c:f>
              <c:numCache>
                <c:formatCode>0.00</c:formatCode>
                <c:ptCount val="10"/>
                <c:pt idx="0">
                  <c:v>19.074300394318538</c:v>
                </c:pt>
                <c:pt idx="1">
                  <c:v>25.998815397452265</c:v>
                </c:pt>
                <c:pt idx="2">
                  <c:v>35.259676348466073</c:v>
                </c:pt>
                <c:pt idx="3">
                  <c:v>111.46044011268086</c:v>
                </c:pt>
                <c:pt idx="4">
                  <c:v>213.98690644137849</c:v>
                </c:pt>
                <c:pt idx="5">
                  <c:v>227.62334270585706</c:v>
                </c:pt>
                <c:pt idx="6">
                  <c:v>267.6394227516634</c:v>
                </c:pt>
                <c:pt idx="7">
                  <c:v>286.74415939363314</c:v>
                </c:pt>
                <c:pt idx="8">
                  <c:v>286.73897640103144</c:v>
                </c:pt>
                <c:pt idx="9">
                  <c:v>303.26491454304471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F1-C340-844F-3906CFBFEA40}"/>
            </c:ext>
          </c:extLst>
        </c:ser>
        <c:ser>
          <c:idx val="2"/>
          <c:order val="2"/>
          <c:tx>
            <c:strRef>
              <c:f>Summary!$Q$8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Summary!$N$9:$N$18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Summary!$Q$9:$Q$18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94.437385000193871</c:v>
                </c:pt>
                <c:pt idx="5">
                  <c:v>125.26877644923287</c:v>
                </c:pt>
                <c:pt idx="6">
                  <c:v>169.23759809090745</c:v>
                </c:pt>
                <c:pt idx="7">
                  <c:v>197.84738679091049</c:v>
                </c:pt>
                <c:pt idx="8">
                  <c:v>213.31420603780018</c:v>
                </c:pt>
                <c:pt idx="9">
                  <c:v>245.50353537877106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F1-C340-844F-3906CFBFE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099344"/>
        <c:axId val="963325312"/>
      </c:scatterChart>
      <c:valAx>
        <c:axId val="110609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25312"/>
        <c:crosses val="autoZero"/>
        <c:crossBetween val="midCat"/>
      </c:valAx>
      <c:valAx>
        <c:axId val="9633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9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Summary!$C$40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Summary!$B$41:$B$49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Summary!$C$41:$C$49</c:f>
              <c:numCache>
                <c:formatCode>0.00</c:formatCode>
                <c:ptCount val="9"/>
                <c:pt idx="0">
                  <c:v>242.78277204761915</c:v>
                </c:pt>
                <c:pt idx="1">
                  <c:v>237.62002855494794</c:v>
                </c:pt>
                <c:pt idx="2">
                  <c:v>253.95515586672684</c:v>
                </c:pt>
                <c:pt idx="3">
                  <c:v>289.58087826005374</c:v>
                </c:pt>
                <c:pt idx="4">
                  <c:v>310.64852167629402</c:v>
                </c:pt>
                <c:pt idx="5">
                  <c:v>318.25485031328026</c:v>
                </c:pt>
                <c:pt idx="6">
                  <c:v>310.06751520528707</c:v>
                </c:pt>
                <c:pt idx="7">
                  <c:v>317.42463336152235</c:v>
                </c:pt>
                <c:pt idx="8">
                  <c:v>330.34791179798401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8E-8A4E-A5BA-104AF6871B71}"/>
            </c:ext>
          </c:extLst>
        </c:ser>
        <c:ser>
          <c:idx val="1"/>
          <c:order val="1"/>
          <c:tx>
            <c:strRef>
              <c:f>Summary!$D$40</c:f>
              <c:strCache>
                <c:ptCount val="1"/>
                <c:pt idx="0">
                  <c:v>Average Inhibited Radius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Summary!$B$41:$B$49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Summary!$D$41:$D$49</c:f>
              <c:numCache>
                <c:formatCode>0.00</c:formatCode>
                <c:ptCount val="9"/>
                <c:pt idx="0">
                  <c:v>140.65818225028326</c:v>
                </c:pt>
                <c:pt idx="1">
                  <c:v>70.082637071526406</c:v>
                </c:pt>
                <c:pt idx="2">
                  <c:v>129.38591109862944</c:v>
                </c:pt>
                <c:pt idx="3">
                  <c:v>192.19924871132224</c:v>
                </c:pt>
                <c:pt idx="4">
                  <c:v>235.87543116396671</c:v>
                </c:pt>
                <c:pt idx="5">
                  <c:v>251.82476570708795</c:v>
                </c:pt>
                <c:pt idx="6">
                  <c:v>246.73691995187832</c:v>
                </c:pt>
                <c:pt idx="7">
                  <c:v>265.02857898275585</c:v>
                </c:pt>
                <c:pt idx="8">
                  <c:v>287.54705652919131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8E-8A4E-A5BA-104AF6871B71}"/>
            </c:ext>
          </c:extLst>
        </c:ser>
        <c:ser>
          <c:idx val="2"/>
          <c:order val="2"/>
          <c:tx>
            <c:strRef>
              <c:f>Summary!$E$40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Summary!$B$41:$B$49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Summary!$E$41:$E$49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13.230878256983939</c:v>
                </c:pt>
                <c:pt idx="3">
                  <c:v>69.720992799406318</c:v>
                </c:pt>
                <c:pt idx="4">
                  <c:v>109.05720178623851</c:v>
                </c:pt>
                <c:pt idx="5">
                  <c:v>137.81561530809583</c:v>
                </c:pt>
                <c:pt idx="6">
                  <c:v>147.02057112899632</c:v>
                </c:pt>
                <c:pt idx="7">
                  <c:v>178.03908950931128</c:v>
                </c:pt>
                <c:pt idx="8">
                  <c:v>212.43464016511285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8E-8A4E-A5BA-104AF6871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778239"/>
        <c:axId val="482150991"/>
      </c:scatterChart>
      <c:valAx>
        <c:axId val="4817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150991"/>
        <c:crosses val="autoZero"/>
        <c:crossBetween val="midCat"/>
      </c:valAx>
      <c:valAx>
        <c:axId val="48215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77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Summary!$I$40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Summary!$H$41:$H$49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Summary!$I$41:$I$49</c:f>
              <c:numCache>
                <c:formatCode>0.00</c:formatCode>
                <c:ptCount val="9"/>
                <c:pt idx="0">
                  <c:v>242.78277204761915</c:v>
                </c:pt>
                <c:pt idx="1">
                  <c:v>237.62002855494794</c:v>
                </c:pt>
                <c:pt idx="2">
                  <c:v>253.95515586672684</c:v>
                </c:pt>
                <c:pt idx="3">
                  <c:v>289.58087826005374</c:v>
                </c:pt>
                <c:pt idx="4">
                  <c:v>310.64852167629402</c:v>
                </c:pt>
                <c:pt idx="5">
                  <c:v>318.25485031328026</c:v>
                </c:pt>
                <c:pt idx="6">
                  <c:v>310.06751520528707</c:v>
                </c:pt>
                <c:pt idx="7">
                  <c:v>317.42463336152235</c:v>
                </c:pt>
                <c:pt idx="8">
                  <c:v>330.34791179798401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B-E24E-923A-63EE1D882BD2}"/>
            </c:ext>
          </c:extLst>
        </c:ser>
        <c:ser>
          <c:idx val="1"/>
          <c:order val="1"/>
          <c:tx>
            <c:strRef>
              <c:f>Summary!$J$40</c:f>
              <c:strCache>
                <c:ptCount val="1"/>
                <c:pt idx="0">
                  <c:v>Average Inhibited Radius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Summary!$H$41:$H$49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Summary!$J$41:$J$49</c:f>
              <c:numCache>
                <c:formatCode>0.00</c:formatCode>
                <c:ptCount val="9"/>
                <c:pt idx="0">
                  <c:v>140.65818225028326</c:v>
                </c:pt>
                <c:pt idx="1">
                  <c:v>70.082637071526406</c:v>
                </c:pt>
                <c:pt idx="2">
                  <c:v>129.38591109862944</c:v>
                </c:pt>
                <c:pt idx="3">
                  <c:v>192.19924871132224</c:v>
                </c:pt>
                <c:pt idx="4">
                  <c:v>235.87543116396671</c:v>
                </c:pt>
                <c:pt idx="5">
                  <c:v>251.82476570708795</c:v>
                </c:pt>
                <c:pt idx="6">
                  <c:v>246.73691995187832</c:v>
                </c:pt>
                <c:pt idx="7">
                  <c:v>265.02857898275585</c:v>
                </c:pt>
                <c:pt idx="8">
                  <c:v>287.54705652919131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7B-E24E-923A-63EE1D882BD2}"/>
            </c:ext>
          </c:extLst>
        </c:ser>
        <c:ser>
          <c:idx val="2"/>
          <c:order val="2"/>
          <c:tx>
            <c:strRef>
              <c:f>Summary!$K$40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Summary!$H$41:$H$49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Summary!$K$41:$K$49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13.230878256983939</c:v>
                </c:pt>
                <c:pt idx="3">
                  <c:v>69.720992799406318</c:v>
                </c:pt>
                <c:pt idx="4">
                  <c:v>109.05720178623851</c:v>
                </c:pt>
                <c:pt idx="5">
                  <c:v>137.81561530809583</c:v>
                </c:pt>
                <c:pt idx="6">
                  <c:v>147.02057112899632</c:v>
                </c:pt>
                <c:pt idx="7">
                  <c:v>178.03908950931128</c:v>
                </c:pt>
                <c:pt idx="8">
                  <c:v>212.43464016511285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7B-E24E-923A-63EE1D882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498223"/>
        <c:axId val="481877007"/>
      </c:scatterChart>
      <c:valAx>
        <c:axId val="48149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877007"/>
        <c:crosses val="autoZero"/>
        <c:crossBetween val="midCat"/>
      </c:valAx>
      <c:valAx>
        <c:axId val="48187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9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Summary!$O$40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Summary!$N$41:$N$49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Summary!$O$41:$O$49</c:f>
              <c:numCache>
                <c:formatCode>0.00</c:formatCode>
                <c:ptCount val="9"/>
                <c:pt idx="0">
                  <c:v>153.34912558208219</c:v>
                </c:pt>
                <c:pt idx="1">
                  <c:v>155.8246307383296</c:v>
                </c:pt>
                <c:pt idx="2">
                  <c:v>173.62308942116087</c:v>
                </c:pt>
                <c:pt idx="3">
                  <c:v>186.07991078926395</c:v>
                </c:pt>
                <c:pt idx="4">
                  <c:v>210.81853365000592</c:v>
                </c:pt>
                <c:pt idx="5">
                  <c:v>234.90236241336038</c:v>
                </c:pt>
                <c:pt idx="6">
                  <c:v>261.52891877563883</c:v>
                </c:pt>
                <c:pt idx="7">
                  <c:v>276.28099875688451</c:v>
                </c:pt>
                <c:pt idx="8">
                  <c:v>304.97340756134474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39-8C4B-B063-345817B59727}"/>
            </c:ext>
          </c:extLst>
        </c:ser>
        <c:ser>
          <c:idx val="1"/>
          <c:order val="1"/>
          <c:tx>
            <c:strRef>
              <c:f>Summary!$P$40</c:f>
              <c:strCache>
                <c:ptCount val="1"/>
                <c:pt idx="0">
                  <c:v>Average Inhibited Radius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Summary!$N$41:$N$49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Summary!$P$41:$P$49</c:f>
              <c:numCache>
                <c:formatCode>0.00</c:formatCode>
                <c:ptCount val="9"/>
                <c:pt idx="0">
                  <c:v>50.103637925008663</c:v>
                </c:pt>
                <c:pt idx="1">
                  <c:v>24.453627389795855</c:v>
                </c:pt>
                <c:pt idx="2">
                  <c:v>18.008237017923761</c:v>
                </c:pt>
                <c:pt idx="3">
                  <c:v>13.257531385949013</c:v>
                </c:pt>
                <c:pt idx="4">
                  <c:v>28.451513739024282</c:v>
                </c:pt>
                <c:pt idx="5">
                  <c:v>77.10226973587632</c:v>
                </c:pt>
                <c:pt idx="6">
                  <c:v>137.06267946079257</c:v>
                </c:pt>
                <c:pt idx="7">
                  <c:v>203.67550246543186</c:v>
                </c:pt>
                <c:pt idx="8">
                  <c:v>244.47334442859227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39-8C4B-B063-345817B59727}"/>
            </c:ext>
          </c:extLst>
        </c:ser>
        <c:ser>
          <c:idx val="2"/>
          <c:order val="2"/>
          <c:tx>
            <c:strRef>
              <c:f>Summary!$Q$40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Summary!$N$41:$N$49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Summary!$Q$41:$Q$49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13.292017227149991</c:v>
                </c:pt>
                <c:pt idx="7">
                  <c:v>82.365316960200374</c:v>
                </c:pt>
                <c:pt idx="8">
                  <c:v>118.87112598697422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39-8C4B-B063-345817B59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921632"/>
        <c:axId val="425281743"/>
      </c:scatterChart>
      <c:valAx>
        <c:axId val="58492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81743"/>
        <c:crosses val="autoZero"/>
        <c:crossBetween val="midCat"/>
      </c:valAx>
      <c:valAx>
        <c:axId val="4252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2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'983b 10k'!$I$4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'983b 10k'!$H$5:$H$14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'983b 10k'!$I$5:$I$14</c:f>
              <c:numCache>
                <c:formatCode>General</c:formatCode>
                <c:ptCount val="10"/>
                <c:pt idx="0">
                  <c:v>222.52586219543915</c:v>
                </c:pt>
                <c:pt idx="1">
                  <c:v>278.98756321925032</c:v>
                </c:pt>
                <c:pt idx="2">
                  <c:v>260.72078210125153</c:v>
                </c:pt>
                <c:pt idx="3">
                  <c:v>288.5806816415066</c:v>
                </c:pt>
                <c:pt idx="4">
                  <c:v>316.90941369151409</c:v>
                </c:pt>
                <c:pt idx="5">
                  <c:v>328.00163296036999</c:v>
                </c:pt>
                <c:pt idx="6">
                  <c:v>356.43775465648383</c:v>
                </c:pt>
                <c:pt idx="7">
                  <c:v>348.75839348037954</c:v>
                </c:pt>
                <c:pt idx="8">
                  <c:v>355.82596479963905</c:v>
                </c:pt>
                <c:pt idx="9">
                  <c:v>328.97815403238286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12-CF46-A418-63895A55BE4C}"/>
            </c:ext>
          </c:extLst>
        </c:ser>
        <c:ser>
          <c:idx val="1"/>
          <c:order val="1"/>
          <c:tx>
            <c:strRef>
              <c:f>'983b 10k'!$J$4</c:f>
              <c:strCache>
                <c:ptCount val="1"/>
                <c:pt idx="0">
                  <c:v>Average Inhibited Radius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'983b 10k'!$H$5:$H$14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'983b 10k'!$J$5:$J$14</c:f>
              <c:numCache>
                <c:formatCode>General</c:formatCode>
                <c:ptCount val="10"/>
                <c:pt idx="0">
                  <c:v>16.374156073809988</c:v>
                </c:pt>
                <c:pt idx="1">
                  <c:v>72.592695524199968</c:v>
                </c:pt>
                <c:pt idx="2">
                  <c:v>153.07746154876367</c:v>
                </c:pt>
                <c:pt idx="3">
                  <c:v>230.00736118318113</c:v>
                </c:pt>
                <c:pt idx="4">
                  <c:v>273.78977362216557</c:v>
                </c:pt>
                <c:pt idx="5">
                  <c:v>283.84119896862046</c:v>
                </c:pt>
                <c:pt idx="6">
                  <c:v>315.98061682518374</c:v>
                </c:pt>
                <c:pt idx="7">
                  <c:v>312.80415276278046</c:v>
                </c:pt>
                <c:pt idx="8">
                  <c:v>320.51139465357056</c:v>
                </c:pt>
                <c:pt idx="9">
                  <c:v>291.61760993226272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12-CF46-A418-63895A55BE4C}"/>
            </c:ext>
          </c:extLst>
        </c:ser>
        <c:ser>
          <c:idx val="2"/>
          <c:order val="2"/>
          <c:tx>
            <c:strRef>
              <c:f>'983b 10k'!$K$4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'983b 10k'!$H$5:$H$14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'983b 10k'!$K$5:$K$14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79.336024042800034</c:v>
                </c:pt>
                <c:pt idx="3">
                  <c:v>118.05682133157022</c:v>
                </c:pt>
                <c:pt idx="4">
                  <c:v>165.68859492018325</c:v>
                </c:pt>
                <c:pt idx="5">
                  <c:v>198.48504553340541</c:v>
                </c:pt>
                <c:pt idx="6">
                  <c:v>227.9361064775571</c:v>
                </c:pt>
                <c:pt idx="7">
                  <c:v>241.70944858014172</c:v>
                </c:pt>
                <c:pt idx="8">
                  <c:v>263.61500255207727</c:v>
                </c:pt>
                <c:pt idx="9">
                  <c:v>267.65750243030641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12-CF46-A418-63895A55B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019184"/>
        <c:axId val="2013353312"/>
      </c:scatterChart>
      <c:valAx>
        <c:axId val="54301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353312"/>
        <c:crosses val="autoZero"/>
        <c:crossBetween val="midCat"/>
      </c:valAx>
      <c:valAx>
        <c:axId val="20133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1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'983b 5k'!$I$4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'983b 5k'!$H$5:$H$14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'983b 5k'!$I$5:$I$14</c:f>
              <c:numCache>
                <c:formatCode>General</c:formatCode>
                <c:ptCount val="10"/>
                <c:pt idx="0">
                  <c:v>182.48780870655335</c:v>
                </c:pt>
                <c:pt idx="1">
                  <c:v>217.34103642158297</c:v>
                </c:pt>
                <c:pt idx="2">
                  <c:v>216.2950448381886</c:v>
                </c:pt>
                <c:pt idx="3">
                  <c:v>254.60623867498438</c:v>
                </c:pt>
                <c:pt idx="4">
                  <c:v>301.04124568687735</c:v>
                </c:pt>
                <c:pt idx="5">
                  <c:v>308.0041055919196</c:v>
                </c:pt>
                <c:pt idx="6">
                  <c:v>326.03795952983813</c:v>
                </c:pt>
                <c:pt idx="7">
                  <c:v>346.82434602587847</c:v>
                </c:pt>
                <c:pt idx="8">
                  <c:v>352.6376630067009</c:v>
                </c:pt>
                <c:pt idx="9">
                  <c:v>341.70620237278729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D1-0B4B-8B47-CADBA54ADD9F}"/>
            </c:ext>
          </c:extLst>
        </c:ser>
        <c:ser>
          <c:idx val="1"/>
          <c:order val="1"/>
          <c:tx>
            <c:strRef>
              <c:f>'983b 5k'!$J$4</c:f>
              <c:strCache>
                <c:ptCount val="1"/>
                <c:pt idx="0">
                  <c:v>Average Inhibited Radius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'983b 5k'!$H$5:$H$14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'983b 5k'!$J$5:$J$14</c:f>
              <c:numCache>
                <c:formatCode>General</c:formatCode>
                <c:ptCount val="10"/>
                <c:pt idx="0">
                  <c:v>4.908799549325308</c:v>
                </c:pt>
                <c:pt idx="1">
                  <c:v>4.3887751785062115</c:v>
                </c:pt>
                <c:pt idx="2">
                  <c:v>82.667079518318744</c:v>
                </c:pt>
                <c:pt idx="3">
                  <c:v>175.1958128990978</c:v>
                </c:pt>
                <c:pt idx="4">
                  <c:v>247.87799302581701</c:v>
                </c:pt>
                <c:pt idx="5">
                  <c:v>257.20236631799531</c:v>
                </c:pt>
                <c:pt idx="6">
                  <c:v>285.14853672201974</c:v>
                </c:pt>
                <c:pt idx="7">
                  <c:v>308.19241760315072</c:v>
                </c:pt>
                <c:pt idx="8">
                  <c:v>315.77918391838273</c:v>
                </c:pt>
                <c:pt idx="9">
                  <c:v>310.43808936408607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D1-0B4B-8B47-CADBA54ADD9F}"/>
            </c:ext>
          </c:extLst>
        </c:ser>
        <c:ser>
          <c:idx val="2"/>
          <c:order val="2"/>
          <c:tx>
            <c:strRef>
              <c:f>'983b 5k'!$K$4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'983b 5k'!$H$5:$H$14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'983b 5k'!$K$5:$K$14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54.619573194383527</c:v>
                </c:pt>
                <c:pt idx="4">
                  <c:v>131.87806748226649</c:v>
                </c:pt>
                <c:pt idx="5">
                  <c:v>164.57050787965136</c:v>
                </c:pt>
                <c:pt idx="6">
                  <c:v>196.58833428241957</c:v>
                </c:pt>
                <c:pt idx="7">
                  <c:v>225.54133678890156</c:v>
                </c:pt>
                <c:pt idx="8">
                  <c:v>252.63642095743603</c:v>
                </c:pt>
                <c:pt idx="9">
                  <c:v>272.15822288207966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D1-0B4B-8B47-CADBA54AD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197120"/>
        <c:axId val="559552527"/>
      </c:scatterChart>
      <c:valAx>
        <c:axId val="5421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52527"/>
        <c:crosses val="autoZero"/>
        <c:crossBetween val="midCat"/>
      </c:valAx>
      <c:valAx>
        <c:axId val="5595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9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'983b 2.5k'!$I$4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'983b 2.5k'!$H$5:$H$14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'983b 2.5k'!$I$5:$I$14</c:f>
              <c:numCache>
                <c:formatCode>General</c:formatCode>
                <c:ptCount val="10"/>
                <c:pt idx="0">
                  <c:v>155.70217264390985</c:v>
                </c:pt>
                <c:pt idx="1">
                  <c:v>172.794763700191</c:v>
                </c:pt>
                <c:pt idx="2">
                  <c:v>184.17207923115851</c:v>
                </c:pt>
                <c:pt idx="3">
                  <c:v>222.7129470901929</c:v>
                </c:pt>
                <c:pt idx="4">
                  <c:v>271.51331180633019</c:v>
                </c:pt>
                <c:pt idx="5">
                  <c:v>277.72255378855556</c:v>
                </c:pt>
                <c:pt idx="6">
                  <c:v>313.16003378782523</c:v>
                </c:pt>
                <c:pt idx="7">
                  <c:v>331.85416198236243</c:v>
                </c:pt>
                <c:pt idx="8">
                  <c:v>329.86538022212358</c:v>
                </c:pt>
                <c:pt idx="9">
                  <c:v>338.17566341552134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B2-8144-BF52-3F2691C62EC2}"/>
            </c:ext>
          </c:extLst>
        </c:ser>
        <c:ser>
          <c:idx val="1"/>
          <c:order val="1"/>
          <c:tx>
            <c:strRef>
              <c:f>'983b 2.5k'!$J$4</c:f>
              <c:strCache>
                <c:ptCount val="1"/>
                <c:pt idx="0">
                  <c:v>Average Inhibited Radius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'983b 2.5k'!$H$5:$H$14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'983b 2.5k'!$J$5:$J$14</c:f>
              <c:numCache>
                <c:formatCode>General</c:formatCode>
                <c:ptCount val="10"/>
                <c:pt idx="0">
                  <c:v>19.074300394318538</c:v>
                </c:pt>
                <c:pt idx="1">
                  <c:v>25.998815397452265</c:v>
                </c:pt>
                <c:pt idx="2">
                  <c:v>35.259676348466073</c:v>
                </c:pt>
                <c:pt idx="3">
                  <c:v>111.46044011268086</c:v>
                </c:pt>
                <c:pt idx="4">
                  <c:v>213.98690644137849</c:v>
                </c:pt>
                <c:pt idx="5">
                  <c:v>227.62334270585706</c:v>
                </c:pt>
                <c:pt idx="6">
                  <c:v>267.6394227516634</c:v>
                </c:pt>
                <c:pt idx="7">
                  <c:v>286.74415939363314</c:v>
                </c:pt>
                <c:pt idx="8">
                  <c:v>286.73897640103144</c:v>
                </c:pt>
                <c:pt idx="9">
                  <c:v>303.26491454304471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B2-8144-BF52-3F2691C62EC2}"/>
            </c:ext>
          </c:extLst>
        </c:ser>
        <c:ser>
          <c:idx val="2"/>
          <c:order val="2"/>
          <c:tx>
            <c:strRef>
              <c:f>'983b 2.5k'!$K$4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'983b 2.5k'!$H$5:$H$14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</c:numCache>
            </c:numRef>
          </c:xVal>
          <c:yVal>
            <c:numRef>
              <c:f>'983b 2.5k'!$K$5:$K$14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94.437385000193871</c:v>
                </c:pt>
                <c:pt idx="5">
                  <c:v>125.26877644923287</c:v>
                </c:pt>
                <c:pt idx="6">
                  <c:v>169.23759809090745</c:v>
                </c:pt>
                <c:pt idx="7">
                  <c:v>197.84738679091049</c:v>
                </c:pt>
                <c:pt idx="8">
                  <c:v>213.31420603780018</c:v>
                </c:pt>
                <c:pt idx="9">
                  <c:v>245.50353537877106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B2-8144-BF52-3F2691C62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70847"/>
        <c:axId val="481643071"/>
      </c:scatterChart>
      <c:valAx>
        <c:axId val="4816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43071"/>
        <c:crosses val="autoZero"/>
        <c:crossBetween val="midCat"/>
      </c:valAx>
      <c:valAx>
        <c:axId val="48164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7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'793b 10k'!$I$4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'793b 10k'!$H$5:$H$13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'793b 10k'!$I$5:$I$13</c:f>
              <c:numCache>
                <c:formatCode>General</c:formatCode>
                <c:ptCount val="9"/>
                <c:pt idx="0">
                  <c:v>242.78277204761915</c:v>
                </c:pt>
                <c:pt idx="1">
                  <c:v>237.62002855494794</c:v>
                </c:pt>
                <c:pt idx="2">
                  <c:v>253.95515586672684</c:v>
                </c:pt>
                <c:pt idx="3">
                  <c:v>289.58087826005374</c:v>
                </c:pt>
                <c:pt idx="4">
                  <c:v>310.64852167629402</c:v>
                </c:pt>
                <c:pt idx="5">
                  <c:v>318.25485031328026</c:v>
                </c:pt>
                <c:pt idx="6">
                  <c:v>310.06751520528707</c:v>
                </c:pt>
                <c:pt idx="7">
                  <c:v>317.42463336152235</c:v>
                </c:pt>
                <c:pt idx="8">
                  <c:v>330.34791179798401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0C-FF41-A8CB-C85BCF125AAE}"/>
            </c:ext>
          </c:extLst>
        </c:ser>
        <c:ser>
          <c:idx val="1"/>
          <c:order val="1"/>
          <c:tx>
            <c:strRef>
              <c:f>'793b 10k'!$J$4</c:f>
              <c:strCache>
                <c:ptCount val="1"/>
                <c:pt idx="0">
                  <c:v>Average Inhibited Radius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'793b 10k'!$H$5:$H$13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'793b 10k'!$J$5:$J$13</c:f>
              <c:numCache>
                <c:formatCode>General</c:formatCode>
                <c:ptCount val="9"/>
                <c:pt idx="0">
                  <c:v>140.65818225028326</c:v>
                </c:pt>
                <c:pt idx="1">
                  <c:v>70.082637071526406</c:v>
                </c:pt>
                <c:pt idx="2">
                  <c:v>129.38591109862944</c:v>
                </c:pt>
                <c:pt idx="3">
                  <c:v>192.19924871132224</c:v>
                </c:pt>
                <c:pt idx="4">
                  <c:v>235.87543116396671</c:v>
                </c:pt>
                <c:pt idx="5">
                  <c:v>251.82476570708795</c:v>
                </c:pt>
                <c:pt idx="6">
                  <c:v>246.73691995187832</c:v>
                </c:pt>
                <c:pt idx="7">
                  <c:v>265.02857898275585</c:v>
                </c:pt>
                <c:pt idx="8">
                  <c:v>287.54705652919131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0C-FF41-A8CB-C85BCF125AAE}"/>
            </c:ext>
          </c:extLst>
        </c:ser>
        <c:ser>
          <c:idx val="2"/>
          <c:order val="2"/>
          <c:tx>
            <c:strRef>
              <c:f>'793b 10k'!$K$4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'793b 10k'!$H$5:$H$13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'793b 10k'!$K$5:$K$13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13.230878256983939</c:v>
                </c:pt>
                <c:pt idx="3">
                  <c:v>69.720992799406318</c:v>
                </c:pt>
                <c:pt idx="4">
                  <c:v>109.05720178623851</c:v>
                </c:pt>
                <c:pt idx="5">
                  <c:v>137.81561530809583</c:v>
                </c:pt>
                <c:pt idx="6">
                  <c:v>147.02057112899632</c:v>
                </c:pt>
                <c:pt idx="7">
                  <c:v>178.03908950931128</c:v>
                </c:pt>
                <c:pt idx="8">
                  <c:v>212.43464016511285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0C-FF41-A8CB-C85BCF125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96367"/>
        <c:axId val="139410479"/>
      </c:scatterChart>
      <c:valAx>
        <c:axId val="13939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0479"/>
        <c:crosses val="autoZero"/>
        <c:crossBetween val="midCat"/>
      </c:valAx>
      <c:valAx>
        <c:axId val="1394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96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'793b 5k'!$I$4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'793b 5k'!$H$5:$H$13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'793b 5k'!$I$5:$I$13</c:f>
              <c:numCache>
                <c:formatCode>General</c:formatCode>
                <c:ptCount val="9"/>
                <c:pt idx="0">
                  <c:v>179.466068387847</c:v>
                </c:pt>
                <c:pt idx="1">
                  <c:v>200.2411256329942</c:v>
                </c:pt>
                <c:pt idx="2">
                  <c:v>212.40772210322211</c:v>
                </c:pt>
                <c:pt idx="3">
                  <c:v>239.5594440722767</c:v>
                </c:pt>
                <c:pt idx="4">
                  <c:v>268.16466180459878</c:v>
                </c:pt>
                <c:pt idx="5">
                  <c:v>294.88579623372073</c:v>
                </c:pt>
                <c:pt idx="6">
                  <c:v>297.49522734352416</c:v>
                </c:pt>
                <c:pt idx="7">
                  <c:v>310.36097542513812</c:v>
                </c:pt>
                <c:pt idx="8">
                  <c:v>342.5555107495594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B1-814C-96FE-2A312F281DFD}"/>
            </c:ext>
          </c:extLst>
        </c:ser>
        <c:ser>
          <c:idx val="1"/>
          <c:order val="1"/>
          <c:tx>
            <c:strRef>
              <c:f>'793b 5k'!$J$4</c:f>
              <c:strCache>
                <c:ptCount val="1"/>
                <c:pt idx="0">
                  <c:v>Average Inhibited Radius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'793b 5k'!$H$5:$H$13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'793b 5k'!$J$5:$J$13</c:f>
              <c:numCache>
                <c:formatCode>General</c:formatCode>
                <c:ptCount val="9"/>
                <c:pt idx="0">
                  <c:v>65.525471452990857</c:v>
                </c:pt>
                <c:pt idx="1">
                  <c:v>35.326465308386993</c:v>
                </c:pt>
                <c:pt idx="2">
                  <c:v>59.207846398841859</c:v>
                </c:pt>
                <c:pt idx="3">
                  <c:v>90.727840235380185</c:v>
                </c:pt>
                <c:pt idx="4">
                  <c:v>167.72973399540265</c:v>
                </c:pt>
                <c:pt idx="5">
                  <c:v>218.20058241909277</c:v>
                </c:pt>
                <c:pt idx="6">
                  <c:v>233.2244878752837</c:v>
                </c:pt>
                <c:pt idx="7">
                  <c:v>256.62667416025391</c:v>
                </c:pt>
                <c:pt idx="8">
                  <c:v>293.72158719630909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B1-814C-96FE-2A312F281DFD}"/>
            </c:ext>
          </c:extLst>
        </c:ser>
        <c:ser>
          <c:idx val="2"/>
          <c:order val="2"/>
          <c:tx>
            <c:strRef>
              <c:f>'793b 5k'!$K$4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'793b 5k'!$H$5:$H$13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'793b 5k'!$K$5:$K$13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6.5423844193669565</c:v>
                </c:pt>
                <c:pt idx="5">
                  <c:v>79.976119123174541</c:v>
                </c:pt>
                <c:pt idx="6">
                  <c:v>124.74202064734867</c:v>
                </c:pt>
                <c:pt idx="7">
                  <c:v>155.83375136161911</c:v>
                </c:pt>
                <c:pt idx="8">
                  <c:v>202.10220480623843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B1-814C-96FE-2A312F28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062640"/>
        <c:axId val="225728847"/>
      </c:scatterChart>
      <c:valAx>
        <c:axId val="55406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28847"/>
        <c:crosses val="autoZero"/>
        <c:crossBetween val="midCat"/>
      </c:valAx>
      <c:valAx>
        <c:axId val="2257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6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'793 2.5k'!$I$4</c:f>
              <c:strCache>
                <c:ptCount val="1"/>
                <c:pt idx="0">
                  <c:v>Average Radius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'793 2.5k'!$H$5:$H$13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'793 2.5k'!$I$5:$I$13</c:f>
              <c:numCache>
                <c:formatCode>General</c:formatCode>
                <c:ptCount val="9"/>
                <c:pt idx="0">
                  <c:v>153.34912558208219</c:v>
                </c:pt>
                <c:pt idx="1">
                  <c:v>155.8246307383296</c:v>
                </c:pt>
                <c:pt idx="2">
                  <c:v>173.62308942116087</c:v>
                </c:pt>
                <c:pt idx="3">
                  <c:v>186.07991078926395</c:v>
                </c:pt>
                <c:pt idx="4">
                  <c:v>210.81853365000592</c:v>
                </c:pt>
                <c:pt idx="5">
                  <c:v>234.90236241336038</c:v>
                </c:pt>
                <c:pt idx="6">
                  <c:v>261.52891877563883</c:v>
                </c:pt>
                <c:pt idx="7">
                  <c:v>276.28099875688451</c:v>
                </c:pt>
                <c:pt idx="8">
                  <c:v>304.97340756134474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AE-3C41-8B01-F7268B7ACECB}"/>
            </c:ext>
          </c:extLst>
        </c:ser>
        <c:ser>
          <c:idx val="1"/>
          <c:order val="1"/>
          <c:tx>
            <c:strRef>
              <c:f>'793 2.5k'!$J$4</c:f>
              <c:strCache>
                <c:ptCount val="1"/>
                <c:pt idx="0">
                  <c:v>Average Inhibited Radius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'793 2.5k'!$H$5:$H$13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'793 2.5k'!$J$5:$J$13</c:f>
              <c:numCache>
                <c:formatCode>General</c:formatCode>
                <c:ptCount val="9"/>
                <c:pt idx="0">
                  <c:v>50.103637925008663</c:v>
                </c:pt>
                <c:pt idx="1">
                  <c:v>24.453627389795855</c:v>
                </c:pt>
                <c:pt idx="2">
                  <c:v>18.008237017923761</c:v>
                </c:pt>
                <c:pt idx="3">
                  <c:v>13.257531385949013</c:v>
                </c:pt>
                <c:pt idx="4">
                  <c:v>28.451513739024282</c:v>
                </c:pt>
                <c:pt idx="5">
                  <c:v>77.10226973587632</c:v>
                </c:pt>
                <c:pt idx="6">
                  <c:v>137.06267946079257</c:v>
                </c:pt>
                <c:pt idx="7">
                  <c:v>203.67550246543186</c:v>
                </c:pt>
                <c:pt idx="8">
                  <c:v>244.47334442859227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AE-3C41-8B01-F7268B7ACECB}"/>
            </c:ext>
          </c:extLst>
        </c:ser>
        <c:ser>
          <c:idx val="2"/>
          <c:order val="2"/>
          <c:tx>
            <c:strRef>
              <c:f>'793 2.5k'!$K$4</c:f>
              <c:strCache>
                <c:ptCount val="1"/>
                <c:pt idx="0">
                  <c:v>Average Necrotic Radius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'793 2.5k'!$H$5:$H$13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</c:numCache>
            </c:numRef>
          </c:xVal>
          <c:yVal>
            <c:numRef>
              <c:f>'793 2.5k'!$K$5:$K$13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13.292017227149991</c:v>
                </c:pt>
                <c:pt idx="7">
                  <c:v>82.365316960200374</c:v>
                </c:pt>
                <c:pt idx="8">
                  <c:v>118.87112598697422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AE-3C41-8B01-F7268B7AC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134240"/>
        <c:axId val="795920624"/>
      </c:scatterChart>
      <c:valAx>
        <c:axId val="7961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20624"/>
        <c:crosses val="autoZero"/>
        <c:crossBetween val="midCat"/>
      </c:valAx>
      <c:valAx>
        <c:axId val="7959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3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19</xdr:row>
      <xdr:rowOff>0</xdr:rowOff>
    </xdr:from>
    <xdr:to>
      <xdr:col>4</xdr:col>
      <xdr:colOff>1593850</xdr:colOff>
      <xdr:row>32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09FF8-E263-6E32-7CF9-251AF7DE8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819150</xdr:colOff>
      <xdr:row>19</xdr:row>
      <xdr:rowOff>0</xdr:rowOff>
    </xdr:from>
    <xdr:to>
      <xdr:col>10</xdr:col>
      <xdr:colOff>1581150</xdr:colOff>
      <xdr:row>32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4D5939-C69A-9C25-DE3E-FDE434C27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6350</xdr:colOff>
      <xdr:row>19</xdr:row>
      <xdr:rowOff>12700</xdr:rowOff>
    </xdr:from>
    <xdr:to>
      <xdr:col>16</xdr:col>
      <xdr:colOff>1593850</xdr:colOff>
      <xdr:row>32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DC66D6-0FD0-0B9A-95A0-63CFE5BC2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819150</xdr:colOff>
      <xdr:row>50</xdr:row>
      <xdr:rowOff>0</xdr:rowOff>
    </xdr:from>
    <xdr:to>
      <xdr:col>4</xdr:col>
      <xdr:colOff>1581150</xdr:colOff>
      <xdr:row>63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799A7A-5507-47AB-31E1-0F00FEEE0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819150</xdr:colOff>
      <xdr:row>50</xdr:row>
      <xdr:rowOff>0</xdr:rowOff>
    </xdr:from>
    <xdr:to>
      <xdr:col>10</xdr:col>
      <xdr:colOff>1581150</xdr:colOff>
      <xdr:row>63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CF881C-0550-4D12-18F4-D715DDCB8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806450</xdr:colOff>
      <xdr:row>50</xdr:row>
      <xdr:rowOff>0</xdr:rowOff>
    </xdr:from>
    <xdr:to>
      <xdr:col>16</xdr:col>
      <xdr:colOff>1568450</xdr:colOff>
      <xdr:row>63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734192-3275-3FE6-8982-D5AE0DC72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177800</xdr:rowOff>
    </xdr:from>
    <xdr:to>
      <xdr:col>11</xdr:col>
      <xdr:colOff>0</xdr:colOff>
      <xdr:row>33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8C5133-0E6E-5A0E-3C04-B98299DD3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0</xdr:rowOff>
    </xdr:from>
    <xdr:to>
      <xdr:col>11</xdr:col>
      <xdr:colOff>12700</xdr:colOff>
      <xdr:row>31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E2F986-5021-5E47-BBE5-B31FEEFCB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0</xdr:rowOff>
    </xdr:from>
    <xdr:to>
      <xdr:col>11</xdr:col>
      <xdr:colOff>0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C9C94D-FEC6-BD2E-B6F5-48C6F9321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12700</xdr:rowOff>
    </xdr:from>
    <xdr:to>
      <xdr:col>11</xdr:col>
      <xdr:colOff>0</xdr:colOff>
      <xdr:row>30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5C1DCA-1D74-0B55-8595-12B758925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787400</xdr:colOff>
      <xdr:row>14</xdr:row>
      <xdr:rowOff>12700</xdr:rowOff>
    </xdr:from>
    <xdr:to>
      <xdr:col>11</xdr:col>
      <xdr:colOff>190500</xdr:colOff>
      <xdr:row>31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8FA22-A4C3-9D3A-2117-BD6F0906E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0</xdr:rowOff>
    </xdr:from>
    <xdr:to>
      <xdr:col>11</xdr:col>
      <xdr:colOff>0</xdr:colOff>
      <xdr:row>28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47C93-4710-1EB7-3F8C-A6516EC6A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490F-BEF7-8846-8BBA-51A7683E6123}">
  <dimension ref="A1:CH105"/>
  <sheetViews>
    <sheetView tabSelected="1" zoomScale="85" zoomScaleNormal="97" workbookViewId="0">
      <selection activeCell="S24" sqref="S24"/>
    </sheetView>
  </sheetViews>
  <sheetFormatPr baseColWidth="10" defaultRowHeight="16" x14ac:dyDescent="0.2"/>
  <cols>
    <col min="2" max="2" width="4.33203125" bestFit="1" customWidth="1"/>
    <col min="3" max="3" width="14.1640625" bestFit="1" customWidth="1"/>
    <col min="4" max="4" width="23.1640625" bestFit="1" customWidth="1"/>
    <col min="5" max="5" width="22.1640625" bestFit="1" customWidth="1"/>
    <col min="8" max="8" width="4.33203125" bestFit="1" customWidth="1"/>
    <col min="9" max="9" width="14.1640625" bestFit="1" customWidth="1"/>
    <col min="10" max="10" width="23.1640625" bestFit="1" customWidth="1"/>
    <col min="11" max="11" width="22.1640625" bestFit="1" customWidth="1"/>
    <col min="14" max="14" width="4.33203125" bestFit="1" customWidth="1"/>
    <col min="15" max="15" width="14.1640625" bestFit="1" customWidth="1"/>
    <col min="16" max="16" width="23.1640625" bestFit="1" customWidth="1"/>
    <col min="17" max="17" width="22.1640625" bestFit="1" customWidth="1"/>
  </cols>
  <sheetData>
    <row r="1" spans="1:8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</row>
    <row r="3" spans="1:8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</row>
    <row r="4" spans="1:86" ht="17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</row>
    <row r="5" spans="1:86" x14ac:dyDescent="0.2">
      <c r="A5" s="1"/>
      <c r="B5" s="11" t="s">
        <v>5</v>
      </c>
      <c r="C5" s="12"/>
      <c r="D5" s="12"/>
      <c r="E5" s="13"/>
      <c r="F5" s="1"/>
      <c r="G5" s="1"/>
      <c r="H5" s="11" t="s">
        <v>5</v>
      </c>
      <c r="I5" s="12"/>
      <c r="J5" s="12"/>
      <c r="K5" s="13"/>
      <c r="L5" s="1"/>
      <c r="M5" s="1"/>
      <c r="N5" s="11" t="s">
        <v>5</v>
      </c>
      <c r="O5" s="12"/>
      <c r="P5" s="12"/>
      <c r="Q5" s="1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</row>
    <row r="6" spans="1:86" ht="17" thickBot="1" x14ac:dyDescent="0.25">
      <c r="A6" s="1"/>
      <c r="B6" s="14" t="s">
        <v>18</v>
      </c>
      <c r="C6" s="15"/>
      <c r="D6" s="15"/>
      <c r="E6" s="16"/>
      <c r="F6" s="1"/>
      <c r="G6" s="1"/>
      <c r="H6" s="14" t="s">
        <v>17</v>
      </c>
      <c r="I6" s="15"/>
      <c r="J6" s="15"/>
      <c r="K6" s="16"/>
      <c r="L6" s="1"/>
      <c r="M6" s="1"/>
      <c r="N6" s="14" t="s">
        <v>19</v>
      </c>
      <c r="O6" s="15"/>
      <c r="P6" s="15"/>
      <c r="Q6" s="1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</row>
    <row r="7" spans="1:86" ht="17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x14ac:dyDescent="0.2">
      <c r="A8" s="1"/>
      <c r="B8" s="3" t="s">
        <v>0</v>
      </c>
      <c r="C8" s="4" t="s">
        <v>13</v>
      </c>
      <c r="D8" s="4" t="s">
        <v>14</v>
      </c>
      <c r="E8" s="5" t="s">
        <v>15</v>
      </c>
      <c r="F8" s="1"/>
      <c r="G8" s="1"/>
      <c r="H8" s="3" t="s">
        <v>0</v>
      </c>
      <c r="I8" s="4" t="s">
        <v>13</v>
      </c>
      <c r="J8" s="4" t="s">
        <v>14</v>
      </c>
      <c r="K8" s="5" t="s">
        <v>15</v>
      </c>
      <c r="L8" s="1"/>
      <c r="M8" s="1"/>
      <c r="N8" s="3" t="s">
        <v>0</v>
      </c>
      <c r="O8" s="4" t="s">
        <v>13</v>
      </c>
      <c r="P8" s="4" t="s">
        <v>14</v>
      </c>
      <c r="Q8" s="5" t="s">
        <v>15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</row>
    <row r="9" spans="1:86" x14ac:dyDescent="0.2">
      <c r="A9" s="1"/>
      <c r="B9" s="6">
        <v>3</v>
      </c>
      <c r="C9" s="2">
        <v>222.52586219543915</v>
      </c>
      <c r="D9" s="2">
        <v>16.374156073809988</v>
      </c>
      <c r="E9" s="7">
        <v>0</v>
      </c>
      <c r="F9" s="1"/>
      <c r="G9" s="1"/>
      <c r="H9" s="6">
        <v>3</v>
      </c>
      <c r="I9" s="2">
        <v>182.48780870655335</v>
      </c>
      <c r="J9" s="2">
        <v>4.908799549325308</v>
      </c>
      <c r="K9" s="7">
        <v>0</v>
      </c>
      <c r="L9" s="1"/>
      <c r="M9" s="1"/>
      <c r="N9" s="6">
        <v>3</v>
      </c>
      <c r="O9" s="2">
        <v>155.70217264390985</v>
      </c>
      <c r="P9" s="2">
        <v>19.074300394318538</v>
      </c>
      <c r="Q9" s="7">
        <v>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</row>
    <row r="10" spans="1:86" x14ac:dyDescent="0.2">
      <c r="A10" s="1"/>
      <c r="B10" s="6">
        <v>4</v>
      </c>
      <c r="C10" s="2">
        <v>278.98756321925032</v>
      </c>
      <c r="D10" s="2">
        <v>72.592695524199968</v>
      </c>
      <c r="E10" s="7">
        <v>0</v>
      </c>
      <c r="F10" s="1"/>
      <c r="G10" s="1"/>
      <c r="H10" s="6">
        <v>4</v>
      </c>
      <c r="I10" s="2">
        <v>217.34103642158297</v>
      </c>
      <c r="J10" s="2">
        <v>4.3887751785062115</v>
      </c>
      <c r="K10" s="7">
        <v>0</v>
      </c>
      <c r="L10" s="1"/>
      <c r="M10" s="1"/>
      <c r="N10" s="6">
        <v>4</v>
      </c>
      <c r="O10" s="2">
        <v>172.794763700191</v>
      </c>
      <c r="P10" s="2">
        <v>25.998815397452265</v>
      </c>
      <c r="Q10" s="7">
        <v>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</row>
    <row r="11" spans="1:86" x14ac:dyDescent="0.2">
      <c r="A11" s="1"/>
      <c r="B11" s="6">
        <v>5</v>
      </c>
      <c r="C11" s="2">
        <v>260.72078210125153</v>
      </c>
      <c r="D11" s="2">
        <v>153.07746154876367</v>
      </c>
      <c r="E11" s="7">
        <v>79.336024042800034</v>
      </c>
      <c r="F11" s="1"/>
      <c r="G11" s="1"/>
      <c r="H11" s="6">
        <v>5</v>
      </c>
      <c r="I11" s="2">
        <v>216.2950448381886</v>
      </c>
      <c r="J11" s="2">
        <v>82.667079518318744</v>
      </c>
      <c r="K11" s="7">
        <v>0</v>
      </c>
      <c r="L11" s="1"/>
      <c r="M11" s="1"/>
      <c r="N11" s="6">
        <v>5</v>
      </c>
      <c r="O11" s="2">
        <v>184.17207923115851</v>
      </c>
      <c r="P11" s="2">
        <v>35.259676348466073</v>
      </c>
      <c r="Q11" s="7"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</row>
    <row r="12" spans="1:86" x14ac:dyDescent="0.2">
      <c r="A12" s="1"/>
      <c r="B12" s="6">
        <v>7</v>
      </c>
      <c r="C12" s="2">
        <v>288.5806816415066</v>
      </c>
      <c r="D12" s="2">
        <v>230.00736118318113</v>
      </c>
      <c r="E12" s="7">
        <v>118.05682133157022</v>
      </c>
      <c r="F12" s="1"/>
      <c r="G12" s="1"/>
      <c r="H12" s="6">
        <v>7</v>
      </c>
      <c r="I12" s="2">
        <v>254.60623867498438</v>
      </c>
      <c r="J12" s="2">
        <v>175.1958128990978</v>
      </c>
      <c r="K12" s="7">
        <v>54.619573194383527</v>
      </c>
      <c r="L12" s="1"/>
      <c r="M12" s="1"/>
      <c r="N12" s="6">
        <v>7</v>
      </c>
      <c r="O12" s="2">
        <v>222.7129470901929</v>
      </c>
      <c r="P12" s="2">
        <v>111.46044011268086</v>
      </c>
      <c r="Q12" s="7"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x14ac:dyDescent="0.2">
      <c r="A13" s="1"/>
      <c r="B13" s="6">
        <v>10</v>
      </c>
      <c r="C13" s="2">
        <v>316.90941369151409</v>
      </c>
      <c r="D13" s="2">
        <v>273.78977362216557</v>
      </c>
      <c r="E13" s="7">
        <v>165.68859492018325</v>
      </c>
      <c r="F13" s="1"/>
      <c r="G13" s="1"/>
      <c r="H13" s="6">
        <v>10</v>
      </c>
      <c r="I13" s="2">
        <v>301.04124568687735</v>
      </c>
      <c r="J13" s="2">
        <v>247.87799302581701</v>
      </c>
      <c r="K13" s="7">
        <v>131.87806748226649</v>
      </c>
      <c r="L13" s="1"/>
      <c r="M13" s="1"/>
      <c r="N13" s="6">
        <v>10</v>
      </c>
      <c r="O13" s="2">
        <v>271.51331180633019</v>
      </c>
      <c r="P13" s="2">
        <v>213.98690644137849</v>
      </c>
      <c r="Q13" s="7">
        <v>94.437385000193871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</row>
    <row r="14" spans="1:86" x14ac:dyDescent="0.2">
      <c r="A14" s="1"/>
      <c r="B14" s="6">
        <v>12</v>
      </c>
      <c r="C14" s="2">
        <v>328.00163296036999</v>
      </c>
      <c r="D14" s="2">
        <v>283.84119896862046</v>
      </c>
      <c r="E14" s="7">
        <v>198.48504553340541</v>
      </c>
      <c r="F14" s="1"/>
      <c r="G14" s="1"/>
      <c r="H14" s="6">
        <v>12</v>
      </c>
      <c r="I14" s="2">
        <v>308.0041055919196</v>
      </c>
      <c r="J14" s="2">
        <v>257.20236631799531</v>
      </c>
      <c r="K14" s="7">
        <v>164.57050787965136</v>
      </c>
      <c r="L14" s="1"/>
      <c r="M14" s="1"/>
      <c r="N14" s="6">
        <v>12</v>
      </c>
      <c r="O14" s="2">
        <v>277.72255378855556</v>
      </c>
      <c r="P14" s="2">
        <v>227.62334270585706</v>
      </c>
      <c r="Q14" s="7">
        <v>125.26877644923287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</row>
    <row r="15" spans="1:86" x14ac:dyDescent="0.2">
      <c r="A15" s="1"/>
      <c r="B15" s="6">
        <v>14</v>
      </c>
      <c r="C15" s="2">
        <v>356.43775465648383</v>
      </c>
      <c r="D15" s="2">
        <v>315.98061682518374</v>
      </c>
      <c r="E15" s="7">
        <v>227.9361064775571</v>
      </c>
      <c r="F15" s="1"/>
      <c r="G15" s="1"/>
      <c r="H15" s="6">
        <v>14</v>
      </c>
      <c r="I15" s="2">
        <v>326.03795952983813</v>
      </c>
      <c r="J15" s="2">
        <v>285.14853672201974</v>
      </c>
      <c r="K15" s="7">
        <v>196.58833428241957</v>
      </c>
      <c r="L15" s="1"/>
      <c r="M15" s="1"/>
      <c r="N15" s="6">
        <v>14</v>
      </c>
      <c r="O15" s="2">
        <v>313.16003378782523</v>
      </c>
      <c r="P15" s="2">
        <v>267.6394227516634</v>
      </c>
      <c r="Q15" s="7">
        <v>169.23759809090745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</row>
    <row r="16" spans="1:86" x14ac:dyDescent="0.2">
      <c r="A16" s="1"/>
      <c r="B16" s="6">
        <v>16</v>
      </c>
      <c r="C16" s="2">
        <v>348.75839348037954</v>
      </c>
      <c r="D16" s="2">
        <v>312.80415276278046</v>
      </c>
      <c r="E16" s="7">
        <v>241.70944858014172</v>
      </c>
      <c r="F16" s="1"/>
      <c r="G16" s="1"/>
      <c r="H16" s="6">
        <v>16</v>
      </c>
      <c r="I16" s="2">
        <v>346.82434602587847</v>
      </c>
      <c r="J16" s="2">
        <v>308.19241760315072</v>
      </c>
      <c r="K16" s="7">
        <v>225.54133678890156</v>
      </c>
      <c r="L16" s="1"/>
      <c r="M16" s="1"/>
      <c r="N16" s="6">
        <v>16</v>
      </c>
      <c r="O16" s="2">
        <v>331.85416198236243</v>
      </c>
      <c r="P16" s="2">
        <v>286.74415939363314</v>
      </c>
      <c r="Q16" s="7">
        <v>197.84738679091049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</row>
    <row r="17" spans="1:86" x14ac:dyDescent="0.2">
      <c r="A17" s="1"/>
      <c r="B17" s="6">
        <v>18</v>
      </c>
      <c r="C17" s="2">
        <v>355.82596479963905</v>
      </c>
      <c r="D17" s="2">
        <v>320.51139465357056</v>
      </c>
      <c r="E17" s="7">
        <v>263.61500255207727</v>
      </c>
      <c r="F17" s="1"/>
      <c r="G17" s="1"/>
      <c r="H17" s="6">
        <v>18</v>
      </c>
      <c r="I17" s="2">
        <v>352.6376630067009</v>
      </c>
      <c r="J17" s="2">
        <v>315.77918391838273</v>
      </c>
      <c r="K17" s="7">
        <v>252.63642095743603</v>
      </c>
      <c r="L17" s="1"/>
      <c r="M17" s="1"/>
      <c r="N17" s="6">
        <v>18</v>
      </c>
      <c r="O17" s="2">
        <v>329.86538022212358</v>
      </c>
      <c r="P17" s="2">
        <v>286.73897640103144</v>
      </c>
      <c r="Q17" s="7">
        <v>213.31420603780018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</row>
    <row r="18" spans="1:86" ht="17" thickBot="1" x14ac:dyDescent="0.25">
      <c r="A18" s="1"/>
      <c r="B18" s="8">
        <v>21</v>
      </c>
      <c r="C18" s="9">
        <v>328.97815403238286</v>
      </c>
      <c r="D18" s="9">
        <v>291.61760993226272</v>
      </c>
      <c r="E18" s="10">
        <v>267.65750243030641</v>
      </c>
      <c r="F18" s="1"/>
      <c r="G18" s="1"/>
      <c r="H18" s="8">
        <v>21</v>
      </c>
      <c r="I18" s="9">
        <v>341.70620237278729</v>
      </c>
      <c r="J18" s="9">
        <v>310.43808936408607</v>
      </c>
      <c r="K18" s="10">
        <v>272.15822288207966</v>
      </c>
      <c r="L18" s="1"/>
      <c r="M18" s="1"/>
      <c r="N18" s="8">
        <v>21</v>
      </c>
      <c r="O18" s="9">
        <v>338.17566341552134</v>
      </c>
      <c r="P18" s="9">
        <v>303.26491454304471</v>
      </c>
      <c r="Q18" s="10">
        <v>245.50353537877106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</row>
    <row r="20" spans="1:8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</row>
    <row r="21" spans="1:8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</row>
    <row r="22" spans="1:8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</row>
    <row r="23" spans="1:8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</row>
    <row r="24" spans="1:8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</row>
    <row r="26" spans="1:8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</row>
    <row r="27" spans="1:8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</row>
    <row r="28" spans="1:8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</row>
    <row r="29" spans="1:8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</row>
    <row r="30" spans="1:8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</row>
    <row r="32" spans="1:8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</row>
    <row r="33" spans="1:8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</row>
    <row r="34" spans="1:8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</row>
    <row r="35" spans="1:8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</row>
    <row r="36" spans="1:86" ht="17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</row>
    <row r="37" spans="1:86" x14ac:dyDescent="0.2">
      <c r="A37" s="1"/>
      <c r="B37" s="11" t="s">
        <v>10</v>
      </c>
      <c r="C37" s="12"/>
      <c r="D37" s="12"/>
      <c r="E37" s="13"/>
      <c r="F37" s="1"/>
      <c r="G37" s="1"/>
      <c r="H37" s="11" t="s">
        <v>10</v>
      </c>
      <c r="I37" s="12"/>
      <c r="J37" s="12"/>
      <c r="K37" s="13"/>
      <c r="L37" s="1"/>
      <c r="M37" s="1"/>
      <c r="N37" s="11" t="s">
        <v>10</v>
      </c>
      <c r="O37" s="12"/>
      <c r="P37" s="12"/>
      <c r="Q37" s="1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7" thickBot="1" x14ac:dyDescent="0.25">
      <c r="A38" s="1"/>
      <c r="B38" s="14" t="s">
        <v>18</v>
      </c>
      <c r="C38" s="15"/>
      <c r="D38" s="15"/>
      <c r="E38" s="16"/>
      <c r="F38" s="1"/>
      <c r="G38" s="1"/>
      <c r="H38" s="14" t="s">
        <v>17</v>
      </c>
      <c r="I38" s="15"/>
      <c r="J38" s="15"/>
      <c r="K38" s="16"/>
      <c r="L38" s="1"/>
      <c r="M38" s="1"/>
      <c r="N38" s="14" t="s">
        <v>19</v>
      </c>
      <c r="O38" s="15"/>
      <c r="P38" s="15"/>
      <c r="Q38" s="1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</row>
    <row r="39" spans="1:86" ht="17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</row>
    <row r="40" spans="1:86" x14ac:dyDescent="0.2">
      <c r="A40" s="1"/>
      <c r="B40" s="3" t="s">
        <v>0</v>
      </c>
      <c r="C40" s="4" t="s">
        <v>13</v>
      </c>
      <c r="D40" s="4" t="s">
        <v>16</v>
      </c>
      <c r="E40" s="5" t="s">
        <v>15</v>
      </c>
      <c r="F40" s="1"/>
      <c r="G40" s="1"/>
      <c r="H40" s="3" t="s">
        <v>0</v>
      </c>
      <c r="I40" s="4" t="s">
        <v>13</v>
      </c>
      <c r="J40" s="4" t="s">
        <v>16</v>
      </c>
      <c r="K40" s="5" t="s">
        <v>15</v>
      </c>
      <c r="L40" s="1"/>
      <c r="M40" s="1"/>
      <c r="N40" s="3" t="s">
        <v>0</v>
      </c>
      <c r="O40" s="4" t="s">
        <v>13</v>
      </c>
      <c r="P40" s="4" t="s">
        <v>16</v>
      </c>
      <c r="Q40" s="5" t="s">
        <v>15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</row>
    <row r="41" spans="1:86" x14ac:dyDescent="0.2">
      <c r="A41" s="1"/>
      <c r="B41" s="6">
        <v>4</v>
      </c>
      <c r="C41" s="2">
        <v>242.78277204761915</v>
      </c>
      <c r="D41" s="2">
        <v>140.65818225028326</v>
      </c>
      <c r="E41" s="7">
        <v>0</v>
      </c>
      <c r="F41" s="1"/>
      <c r="G41" s="1"/>
      <c r="H41" s="6">
        <v>4</v>
      </c>
      <c r="I41" s="2">
        <v>242.78277204761915</v>
      </c>
      <c r="J41" s="2">
        <v>140.65818225028326</v>
      </c>
      <c r="K41" s="7">
        <v>0</v>
      </c>
      <c r="L41" s="1"/>
      <c r="M41" s="1"/>
      <c r="N41" s="6">
        <v>4</v>
      </c>
      <c r="O41" s="2">
        <v>153.34912558208219</v>
      </c>
      <c r="P41" s="2">
        <v>50.103637925008663</v>
      </c>
      <c r="Q41" s="7">
        <v>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</row>
    <row r="42" spans="1:86" x14ac:dyDescent="0.2">
      <c r="A42" s="1"/>
      <c r="B42" s="6">
        <v>5</v>
      </c>
      <c r="C42" s="2">
        <v>237.62002855494794</v>
      </c>
      <c r="D42" s="2">
        <v>70.082637071526406</v>
      </c>
      <c r="E42" s="7">
        <v>0</v>
      </c>
      <c r="F42" s="1"/>
      <c r="G42" s="1"/>
      <c r="H42" s="6">
        <v>5</v>
      </c>
      <c r="I42" s="2">
        <v>237.62002855494794</v>
      </c>
      <c r="J42" s="2">
        <v>70.082637071526406</v>
      </c>
      <c r="K42" s="7">
        <v>0</v>
      </c>
      <c r="L42" s="1"/>
      <c r="M42" s="1"/>
      <c r="N42" s="6">
        <v>5</v>
      </c>
      <c r="O42" s="2">
        <v>155.8246307383296</v>
      </c>
      <c r="P42" s="2">
        <v>24.453627389795855</v>
      </c>
      <c r="Q42" s="7">
        <v>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</row>
    <row r="43" spans="1:86" x14ac:dyDescent="0.2">
      <c r="A43" s="1"/>
      <c r="B43" s="6">
        <v>7</v>
      </c>
      <c r="C43" s="2">
        <v>253.95515586672684</v>
      </c>
      <c r="D43" s="2">
        <v>129.38591109862944</v>
      </c>
      <c r="E43" s="7">
        <v>13.230878256983939</v>
      </c>
      <c r="F43" s="1"/>
      <c r="G43" s="1"/>
      <c r="H43" s="6">
        <v>7</v>
      </c>
      <c r="I43" s="2">
        <v>253.95515586672684</v>
      </c>
      <c r="J43" s="2">
        <v>129.38591109862944</v>
      </c>
      <c r="K43" s="7">
        <v>13.230878256983939</v>
      </c>
      <c r="L43" s="1"/>
      <c r="M43" s="1"/>
      <c r="N43" s="6">
        <v>7</v>
      </c>
      <c r="O43" s="2">
        <v>173.62308942116087</v>
      </c>
      <c r="P43" s="2">
        <v>18.008237017923761</v>
      </c>
      <c r="Q43" s="7"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x14ac:dyDescent="0.2">
      <c r="A44" s="1"/>
      <c r="B44" s="6">
        <v>10</v>
      </c>
      <c r="C44" s="2">
        <v>289.58087826005374</v>
      </c>
      <c r="D44" s="2">
        <v>192.19924871132224</v>
      </c>
      <c r="E44" s="7">
        <v>69.720992799406318</v>
      </c>
      <c r="F44" s="1"/>
      <c r="G44" s="1"/>
      <c r="H44" s="6">
        <v>10</v>
      </c>
      <c r="I44" s="2">
        <v>289.58087826005374</v>
      </c>
      <c r="J44" s="2">
        <v>192.19924871132224</v>
      </c>
      <c r="K44" s="7">
        <v>69.720992799406318</v>
      </c>
      <c r="L44" s="1"/>
      <c r="M44" s="1"/>
      <c r="N44" s="6">
        <v>10</v>
      </c>
      <c r="O44" s="2">
        <v>186.07991078926395</v>
      </c>
      <c r="P44" s="2">
        <v>13.257531385949013</v>
      </c>
      <c r="Q44" s="7"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</row>
    <row r="45" spans="1:86" x14ac:dyDescent="0.2">
      <c r="A45" s="1"/>
      <c r="B45" s="6">
        <v>12</v>
      </c>
      <c r="C45" s="2">
        <v>310.64852167629402</v>
      </c>
      <c r="D45" s="2">
        <v>235.87543116396671</v>
      </c>
      <c r="E45" s="7">
        <v>109.05720178623851</v>
      </c>
      <c r="F45" s="1"/>
      <c r="G45" s="1"/>
      <c r="H45" s="6">
        <v>12</v>
      </c>
      <c r="I45" s="2">
        <v>310.64852167629402</v>
      </c>
      <c r="J45" s="2">
        <v>235.87543116396671</v>
      </c>
      <c r="K45" s="7">
        <v>109.05720178623851</v>
      </c>
      <c r="L45" s="1"/>
      <c r="M45" s="1"/>
      <c r="N45" s="6">
        <v>12</v>
      </c>
      <c r="O45" s="2">
        <v>210.81853365000592</v>
      </c>
      <c r="P45" s="2">
        <v>28.451513739024282</v>
      </c>
      <c r="Q45" s="7">
        <v>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1:86" x14ac:dyDescent="0.2">
      <c r="A46" s="1"/>
      <c r="B46" s="6">
        <v>14</v>
      </c>
      <c r="C46" s="2">
        <v>318.25485031328026</v>
      </c>
      <c r="D46" s="2">
        <v>251.82476570708795</v>
      </c>
      <c r="E46" s="7">
        <v>137.81561530809583</v>
      </c>
      <c r="F46" s="1"/>
      <c r="G46" s="1"/>
      <c r="H46" s="6">
        <v>14</v>
      </c>
      <c r="I46" s="2">
        <v>318.25485031328026</v>
      </c>
      <c r="J46" s="2">
        <v>251.82476570708795</v>
      </c>
      <c r="K46" s="7">
        <v>137.81561530809583</v>
      </c>
      <c r="L46" s="1"/>
      <c r="M46" s="1"/>
      <c r="N46" s="6">
        <v>14</v>
      </c>
      <c r="O46" s="2">
        <v>234.90236241336038</v>
      </c>
      <c r="P46" s="2">
        <v>77.10226973587632</v>
      </c>
      <c r="Q46" s="7">
        <v>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</row>
    <row r="47" spans="1:86" x14ac:dyDescent="0.2">
      <c r="A47" s="1"/>
      <c r="B47" s="6">
        <v>16</v>
      </c>
      <c r="C47" s="2">
        <v>310.06751520528707</v>
      </c>
      <c r="D47" s="2">
        <v>246.73691995187832</v>
      </c>
      <c r="E47" s="7">
        <v>147.02057112899632</v>
      </c>
      <c r="F47" s="1"/>
      <c r="G47" s="1"/>
      <c r="H47" s="6">
        <v>16</v>
      </c>
      <c r="I47" s="2">
        <v>310.06751520528707</v>
      </c>
      <c r="J47" s="2">
        <v>246.73691995187832</v>
      </c>
      <c r="K47" s="7">
        <v>147.02057112899632</v>
      </c>
      <c r="L47" s="1"/>
      <c r="M47" s="1"/>
      <c r="N47" s="6">
        <v>16</v>
      </c>
      <c r="O47" s="2">
        <v>261.52891877563883</v>
      </c>
      <c r="P47" s="2">
        <v>137.06267946079257</v>
      </c>
      <c r="Q47" s="7">
        <v>13.292017227149991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x14ac:dyDescent="0.2">
      <c r="A48" s="1"/>
      <c r="B48" s="6">
        <v>18</v>
      </c>
      <c r="C48" s="2">
        <v>317.42463336152235</v>
      </c>
      <c r="D48" s="2">
        <v>265.02857898275585</v>
      </c>
      <c r="E48" s="7">
        <v>178.03908950931128</v>
      </c>
      <c r="F48" s="1"/>
      <c r="G48" s="1"/>
      <c r="H48" s="6">
        <v>18</v>
      </c>
      <c r="I48" s="2">
        <v>317.42463336152235</v>
      </c>
      <c r="J48" s="2">
        <v>265.02857898275585</v>
      </c>
      <c r="K48" s="7">
        <v>178.03908950931128</v>
      </c>
      <c r="L48" s="1"/>
      <c r="M48" s="1"/>
      <c r="N48" s="6">
        <v>18</v>
      </c>
      <c r="O48" s="2">
        <v>276.28099875688451</v>
      </c>
      <c r="P48" s="2">
        <v>203.67550246543186</v>
      </c>
      <c r="Q48" s="7">
        <v>82.365316960200374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7" thickBot="1" x14ac:dyDescent="0.25">
      <c r="A49" s="1"/>
      <c r="B49" s="8">
        <v>21</v>
      </c>
      <c r="C49" s="9">
        <v>330.34791179798401</v>
      </c>
      <c r="D49" s="9">
        <v>287.54705652919131</v>
      </c>
      <c r="E49" s="10">
        <v>212.43464016511285</v>
      </c>
      <c r="F49" s="1"/>
      <c r="G49" s="1"/>
      <c r="H49" s="8">
        <v>21</v>
      </c>
      <c r="I49" s="9">
        <v>330.34791179798401</v>
      </c>
      <c r="J49" s="9">
        <v>287.54705652919131</v>
      </c>
      <c r="K49" s="10">
        <v>212.43464016511285</v>
      </c>
      <c r="L49" s="1"/>
      <c r="M49" s="1"/>
      <c r="N49" s="8">
        <v>21</v>
      </c>
      <c r="O49" s="9">
        <v>304.97340756134474</v>
      </c>
      <c r="P49" s="9">
        <v>244.47334442859227</v>
      </c>
      <c r="Q49" s="10">
        <v>118.87112598697422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  <row r="58" spans="1:8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</row>
    <row r="59" spans="1:8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</row>
    <row r="60" spans="1:8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</row>
    <row r="61" spans="1:8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</row>
    <row r="62" spans="1:8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</row>
    <row r="63" spans="1:8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</row>
    <row r="64" spans="1:8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</row>
    <row r="65" spans="1:8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</row>
    <row r="66" spans="1:8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</row>
    <row r="67" spans="1:8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</row>
    <row r="68" spans="1:8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</row>
    <row r="69" spans="1:8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</row>
    <row r="70" spans="1:8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</row>
    <row r="71" spans="1:8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</row>
    <row r="72" spans="1:8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</row>
    <row r="73" spans="1:8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</row>
    <row r="74" spans="1:8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</row>
    <row r="75" spans="1:8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</row>
    <row r="76" spans="1:8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</row>
    <row r="77" spans="1:8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</row>
    <row r="78" spans="1:8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</row>
    <row r="79" spans="1:8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</row>
    <row r="80" spans="1:8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</row>
    <row r="81" spans="1:8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</row>
    <row r="82" spans="1:8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</row>
    <row r="83" spans="1:8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</row>
    <row r="84" spans="1:8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</row>
    <row r="85" spans="1:8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</row>
    <row r="86" spans="1:8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</row>
    <row r="87" spans="1:8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</row>
    <row r="88" spans="1:8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</row>
    <row r="89" spans="1:8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</row>
    <row r="90" spans="1:8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</row>
    <row r="91" spans="1:8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</row>
    <row r="92" spans="1:8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</row>
    <row r="93" spans="1:8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</row>
    <row r="94" spans="1:8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</row>
    <row r="95" spans="1:8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</row>
    <row r="96" spans="1:8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</row>
    <row r="97" spans="1:8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</row>
    <row r="98" spans="1:8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</row>
    <row r="99" spans="1:8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</row>
    <row r="100" spans="1:8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</row>
    <row r="101" spans="1:8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</row>
    <row r="102" spans="1:8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</row>
    <row r="103" spans="1:8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</row>
    <row r="104" spans="1:8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</row>
    <row r="105" spans="1:8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</row>
  </sheetData>
  <dataConsolidate/>
  <mergeCells count="12">
    <mergeCell ref="B5:E5"/>
    <mergeCell ref="B6:E6"/>
    <mergeCell ref="H5:K5"/>
    <mergeCell ref="H6:K6"/>
    <mergeCell ref="N5:Q5"/>
    <mergeCell ref="N6:Q6"/>
    <mergeCell ref="B37:E37"/>
    <mergeCell ref="B38:E38"/>
    <mergeCell ref="H37:K37"/>
    <mergeCell ref="H38:K38"/>
    <mergeCell ref="N37:Q37"/>
    <mergeCell ref="N38:Q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A954-253F-CA49-81A5-91651B9F1F7A}">
  <dimension ref="A1:K150"/>
  <sheetViews>
    <sheetView workbookViewId="0">
      <selection activeCell="H4" sqref="H4:K14"/>
    </sheetView>
  </sheetViews>
  <sheetFormatPr baseColWidth="10" defaultRowHeight="16" x14ac:dyDescent="0.2"/>
  <cols>
    <col min="5" max="6" width="14.1640625" bestFit="1" customWidth="1"/>
    <col min="8" max="8" width="13.33203125" bestFit="1" customWidth="1"/>
    <col min="9" max="9" width="21.5" bestFit="1" customWidth="1"/>
    <col min="10" max="11" width="21" bestFit="1" customWidth="1"/>
  </cols>
  <sheetData>
    <row r="1" spans="1:11" x14ac:dyDescent="0.2">
      <c r="A1" t="s">
        <v>4</v>
      </c>
      <c r="B1" t="s">
        <v>5</v>
      </c>
    </row>
    <row r="2" spans="1:11" x14ac:dyDescent="0.2">
      <c r="A2" t="s">
        <v>6</v>
      </c>
      <c r="B2" t="s">
        <v>7</v>
      </c>
    </row>
    <row r="4" spans="1:11" x14ac:dyDescent="0.2">
      <c r="A4" t="s">
        <v>0</v>
      </c>
      <c r="B4" t="s">
        <v>1</v>
      </c>
      <c r="C4" t="s">
        <v>2</v>
      </c>
      <c r="D4" t="s">
        <v>3</v>
      </c>
      <c r="E4" t="s">
        <v>12</v>
      </c>
      <c r="F4" t="s">
        <v>11</v>
      </c>
      <c r="H4" t="s">
        <v>0</v>
      </c>
      <c r="I4" t="s">
        <v>13</v>
      </c>
      <c r="J4" t="s">
        <v>14</v>
      </c>
      <c r="K4" t="s">
        <v>15</v>
      </c>
    </row>
    <row r="5" spans="1:11" x14ac:dyDescent="0.2">
      <c r="A5">
        <v>3</v>
      </c>
      <c r="B5">
        <v>206.658235376503</v>
      </c>
      <c r="C5">
        <v>0</v>
      </c>
      <c r="D5">
        <v>0</v>
      </c>
      <c r="E5">
        <f>C5*B5</f>
        <v>0</v>
      </c>
      <c r="F5">
        <f>D5*B5</f>
        <v>0</v>
      </c>
      <c r="H5">
        <v>3</v>
      </c>
      <c r="I5">
        <f>AVERAGE(B5:B10)</f>
        <v>222.52586219543915</v>
      </c>
      <c r="J5">
        <f>AVERAGE(E5:E10)</f>
        <v>16.374156073809988</v>
      </c>
      <c r="K5">
        <f>AVERAGE(F5:F10)</f>
        <v>0</v>
      </c>
    </row>
    <row r="6" spans="1:11" x14ac:dyDescent="0.2">
      <c r="A6">
        <v>3</v>
      </c>
      <c r="B6">
        <v>237.476680099616</v>
      </c>
      <c r="C6">
        <v>0.171855948034383</v>
      </c>
      <c r="D6">
        <v>0</v>
      </c>
      <c r="E6">
        <f t="shared" ref="E6:E69" si="0">C6*B6</f>
        <v>40.811779994577407</v>
      </c>
      <c r="F6">
        <f t="shared" ref="F6:F69" si="1">D6*B6</f>
        <v>0</v>
      </c>
      <c r="H6">
        <v>4</v>
      </c>
      <c r="I6">
        <f>AVERAGE(B11:B20)</f>
        <v>278.98756321925032</v>
      </c>
      <c r="J6">
        <f>AVERAGE(E11:E20)</f>
        <v>72.592695524199968</v>
      </c>
      <c r="K6">
        <f>AVERAGE(F11:F20)</f>
        <v>0</v>
      </c>
    </row>
    <row r="7" spans="1:11" x14ac:dyDescent="0.2">
      <c r="A7">
        <v>3</v>
      </c>
      <c r="B7">
        <v>223.58732480724501</v>
      </c>
      <c r="C7">
        <v>0</v>
      </c>
      <c r="D7">
        <v>0</v>
      </c>
      <c r="E7">
        <f t="shared" si="0"/>
        <v>0</v>
      </c>
      <c r="F7">
        <f t="shared" si="1"/>
        <v>0</v>
      </c>
      <c r="H7">
        <v>5</v>
      </c>
      <c r="I7">
        <f>AVERAGE(B21:B29)</f>
        <v>260.72078210125153</v>
      </c>
      <c r="J7">
        <f>AVERAGE(E21:E29)</f>
        <v>153.07746154876367</v>
      </c>
      <c r="K7">
        <f>AVERAGE(F21:F29)</f>
        <v>79.336024042800034</v>
      </c>
    </row>
    <row r="8" spans="1:11" x14ac:dyDescent="0.2">
      <c r="A8">
        <v>3</v>
      </c>
      <c r="B8">
        <v>224.67999193458101</v>
      </c>
      <c r="C8">
        <v>0</v>
      </c>
      <c r="D8">
        <v>0</v>
      </c>
      <c r="E8">
        <f t="shared" si="0"/>
        <v>0</v>
      </c>
      <c r="F8">
        <f t="shared" si="1"/>
        <v>0</v>
      </c>
      <c r="H8">
        <v>7</v>
      </c>
      <c r="I8">
        <f>AVERAGE(B30:B47)</f>
        <v>288.5806816415066</v>
      </c>
      <c r="J8">
        <f>AVERAGE(E30:E47)</f>
        <v>230.00736118318113</v>
      </c>
      <c r="K8">
        <f>AVERAGE(F30:F47)</f>
        <v>118.05682133157022</v>
      </c>
    </row>
    <row r="9" spans="1:11" x14ac:dyDescent="0.2">
      <c r="A9">
        <v>3</v>
      </c>
      <c r="B9">
        <v>229.58190631679199</v>
      </c>
      <c r="C9">
        <v>0</v>
      </c>
      <c r="D9">
        <v>0</v>
      </c>
      <c r="E9">
        <f t="shared" si="0"/>
        <v>0</v>
      </c>
      <c r="F9">
        <f t="shared" si="1"/>
        <v>0</v>
      </c>
      <c r="H9">
        <v>10</v>
      </c>
      <c r="I9">
        <f>AVERAGE(B48:B62)</f>
        <v>316.90941369151409</v>
      </c>
      <c r="J9">
        <f>AVERAGE(E48:E62)</f>
        <v>273.78977362216557</v>
      </c>
      <c r="K9">
        <f>AVERAGE(F48:F62)</f>
        <v>165.68859492018325</v>
      </c>
    </row>
    <row r="10" spans="1:11" x14ac:dyDescent="0.2">
      <c r="A10">
        <v>3</v>
      </c>
      <c r="B10">
        <v>213.171034637898</v>
      </c>
      <c r="C10">
        <v>0.26942289108762402</v>
      </c>
      <c r="D10">
        <v>0</v>
      </c>
      <c r="E10">
        <f t="shared" si="0"/>
        <v>57.433156448282517</v>
      </c>
      <c r="F10">
        <f t="shared" si="1"/>
        <v>0</v>
      </c>
      <c r="H10">
        <v>12</v>
      </c>
      <c r="I10">
        <f>AVERAGE(B63:B83)</f>
        <v>328.00163296036999</v>
      </c>
      <c r="J10">
        <f>AVERAGE(E63:E83)</f>
        <v>283.84119896862046</v>
      </c>
      <c r="K10">
        <f>AVERAGE(F63:F83)</f>
        <v>198.48504553340541</v>
      </c>
    </row>
    <row r="11" spans="1:11" x14ac:dyDescent="0.2">
      <c r="A11">
        <v>4</v>
      </c>
      <c r="B11">
        <v>293.60611345838299</v>
      </c>
      <c r="C11">
        <v>0.21378219440429699</v>
      </c>
      <c r="D11">
        <v>0</v>
      </c>
      <c r="E11">
        <f t="shared" si="0"/>
        <v>62.76775922565011</v>
      </c>
      <c r="F11">
        <f t="shared" si="1"/>
        <v>0</v>
      </c>
      <c r="H11">
        <v>14</v>
      </c>
      <c r="I11">
        <f>AVERAGE(B84:B96)</f>
        <v>356.43775465648383</v>
      </c>
      <c r="J11">
        <f>AVERAGE(E84:E96)</f>
        <v>315.98061682518374</v>
      </c>
      <c r="K11">
        <f>AVERAGE(F84:F96)</f>
        <v>227.9361064775571</v>
      </c>
    </row>
    <row r="12" spans="1:11" x14ac:dyDescent="0.2">
      <c r="A12">
        <v>4</v>
      </c>
      <c r="B12">
        <v>277.277789590792</v>
      </c>
      <c r="C12">
        <v>0.25748740298615502</v>
      </c>
      <c r="D12">
        <v>0</v>
      </c>
      <c r="E12">
        <f t="shared" si="0"/>
        <v>71.395537947474565</v>
      </c>
      <c r="F12">
        <f t="shared" si="1"/>
        <v>0</v>
      </c>
      <c r="H12">
        <v>16</v>
      </c>
      <c r="I12">
        <f>AVERAGE(B97:B115)</f>
        <v>348.75839348037954</v>
      </c>
      <c r="J12">
        <f>AVERAGE(E97:E115)</f>
        <v>312.80415276278046</v>
      </c>
      <c r="K12">
        <f>AVERAGE(F97:F115)</f>
        <v>241.70944858014172</v>
      </c>
    </row>
    <row r="13" spans="1:11" x14ac:dyDescent="0.2">
      <c r="A13">
        <v>4</v>
      </c>
      <c r="B13">
        <v>270.263236884587</v>
      </c>
      <c r="C13">
        <v>0.19507388837166001</v>
      </c>
      <c r="D13">
        <v>0</v>
      </c>
      <c r="E13">
        <f t="shared" si="0"/>
        <v>52.721300502987432</v>
      </c>
      <c r="F13">
        <f t="shared" si="1"/>
        <v>0</v>
      </c>
      <c r="H13">
        <v>18</v>
      </c>
      <c r="I13">
        <f>AVERAGE(B116:B134)</f>
        <v>355.82596479963905</v>
      </c>
      <c r="J13">
        <f>AVERAGE(E116:E134)</f>
        <v>320.51139465357056</v>
      </c>
      <c r="K13">
        <f>AVERAGE(F116:F134)</f>
        <v>263.61500255207727</v>
      </c>
    </row>
    <row r="14" spans="1:11" x14ac:dyDescent="0.2">
      <c r="A14">
        <v>4</v>
      </c>
      <c r="B14">
        <v>290.54172211725802</v>
      </c>
      <c r="C14">
        <v>0</v>
      </c>
      <c r="D14">
        <v>0</v>
      </c>
      <c r="E14">
        <f t="shared" si="0"/>
        <v>0</v>
      </c>
      <c r="F14">
        <f t="shared" si="1"/>
        <v>0</v>
      </c>
      <c r="H14">
        <v>21</v>
      </c>
      <c r="I14">
        <f>AVERAGE(B135:B150)</f>
        <v>328.97815403238286</v>
      </c>
      <c r="J14">
        <f>AVERAGE(E135:E150)</f>
        <v>291.61760993226272</v>
      </c>
      <c r="K14">
        <f>AVERAGE(F135:F150)</f>
        <v>267.65750243030641</v>
      </c>
    </row>
    <row r="15" spans="1:11" x14ac:dyDescent="0.2">
      <c r="A15">
        <v>4</v>
      </c>
      <c r="B15">
        <v>284.35710973208802</v>
      </c>
      <c r="C15">
        <v>0.397139519868694</v>
      </c>
      <c r="D15">
        <v>0</v>
      </c>
      <c r="E15">
        <f t="shared" si="0"/>
        <v>112.92944603025097</v>
      </c>
      <c r="F15">
        <f t="shared" si="1"/>
        <v>0</v>
      </c>
    </row>
    <row r="16" spans="1:11" x14ac:dyDescent="0.2">
      <c r="A16">
        <v>4</v>
      </c>
      <c r="B16">
        <v>277.12521982393901</v>
      </c>
      <c r="C16">
        <v>0.33583455711820398</v>
      </c>
      <c r="D16">
        <v>0</v>
      </c>
      <c r="E16">
        <f t="shared" si="0"/>
        <v>93.068225465857481</v>
      </c>
      <c r="F16">
        <f t="shared" si="1"/>
        <v>0</v>
      </c>
    </row>
    <row r="17" spans="1:6" x14ac:dyDescent="0.2">
      <c r="A17">
        <v>4</v>
      </c>
      <c r="B17">
        <v>277.726142581945</v>
      </c>
      <c r="C17">
        <v>0.227123700557363</v>
      </c>
      <c r="D17">
        <v>0</v>
      </c>
      <c r="E17">
        <f t="shared" si="0"/>
        <v>63.078189244733174</v>
      </c>
      <c r="F17">
        <f t="shared" si="1"/>
        <v>0</v>
      </c>
    </row>
    <row r="18" spans="1:6" x14ac:dyDescent="0.2">
      <c r="A18">
        <v>4</v>
      </c>
      <c r="B18">
        <v>269.95281487276498</v>
      </c>
      <c r="C18">
        <v>0.39267765963163698</v>
      </c>
      <c r="D18">
        <v>0</v>
      </c>
      <c r="E18">
        <f t="shared" si="0"/>
        <v>106.00443955520991</v>
      </c>
      <c r="F18">
        <f t="shared" si="1"/>
        <v>0</v>
      </c>
    </row>
    <row r="19" spans="1:6" x14ac:dyDescent="0.2">
      <c r="A19">
        <v>4</v>
      </c>
      <c r="B19">
        <v>277.91200554405799</v>
      </c>
      <c r="C19">
        <v>0.343802641457856</v>
      </c>
      <c r="D19">
        <v>0</v>
      </c>
      <c r="E19">
        <f t="shared" si="0"/>
        <v>95.546881598897457</v>
      </c>
      <c r="F19">
        <f t="shared" si="1"/>
        <v>0</v>
      </c>
    </row>
    <row r="20" spans="1:6" x14ac:dyDescent="0.2">
      <c r="A20">
        <v>4</v>
      </c>
      <c r="B20">
        <v>271.11347758668802</v>
      </c>
      <c r="C20">
        <v>0.25234885509910898</v>
      </c>
      <c r="D20">
        <v>0</v>
      </c>
      <c r="E20">
        <f t="shared" si="0"/>
        <v>68.415175670938666</v>
      </c>
      <c r="F20">
        <f t="shared" si="1"/>
        <v>0</v>
      </c>
    </row>
    <row r="21" spans="1:6" x14ac:dyDescent="0.2">
      <c r="A21">
        <v>5</v>
      </c>
      <c r="B21">
        <v>267.79457702135301</v>
      </c>
      <c r="C21">
        <v>0.57230533128647898</v>
      </c>
      <c r="D21">
        <v>0.30584693577806599</v>
      </c>
      <c r="E21">
        <f t="shared" si="0"/>
        <v>153.26026411892795</v>
      </c>
      <c r="F21">
        <f t="shared" si="1"/>
        <v>81.9041507999641</v>
      </c>
    </row>
    <row r="22" spans="1:6" x14ac:dyDescent="0.2">
      <c r="A22">
        <v>5</v>
      </c>
      <c r="B22">
        <v>259.585917287386</v>
      </c>
      <c r="C22">
        <v>0.53414455267502503</v>
      </c>
      <c r="D22">
        <v>0.31876313611418799</v>
      </c>
      <c r="E22">
        <f t="shared" si="0"/>
        <v>138.65640367020683</v>
      </c>
      <c r="F22">
        <f t="shared" si="1"/>
        <v>82.746421085605363</v>
      </c>
    </row>
    <row r="23" spans="1:6" x14ac:dyDescent="0.2">
      <c r="A23">
        <v>5</v>
      </c>
      <c r="B23">
        <v>256.99175890923999</v>
      </c>
      <c r="C23">
        <v>0.57177323970378002</v>
      </c>
      <c r="D23">
        <v>0.181784671406864</v>
      </c>
      <c r="E23">
        <f t="shared" si="0"/>
        <v>146.94101056870892</v>
      </c>
      <c r="F23">
        <f t="shared" si="1"/>
        <v>46.717162447588201</v>
      </c>
    </row>
    <row r="24" spans="1:6" x14ac:dyDescent="0.2">
      <c r="A24">
        <v>5</v>
      </c>
      <c r="B24">
        <v>257.62151162345299</v>
      </c>
      <c r="C24">
        <v>0.60330463686685998</v>
      </c>
      <c r="D24">
        <v>0.31976026156463999</v>
      </c>
      <c r="E24">
        <f t="shared" si="0"/>
        <v>155.42425251907886</v>
      </c>
      <c r="F24">
        <f t="shared" si="1"/>
        <v>82.37712194139327</v>
      </c>
    </row>
    <row r="25" spans="1:6" x14ac:dyDescent="0.2">
      <c r="A25">
        <v>5</v>
      </c>
      <c r="B25">
        <v>264.37078620572601</v>
      </c>
      <c r="C25">
        <v>0.58856883472421195</v>
      </c>
      <c r="D25">
        <v>0.31978782315774301</v>
      </c>
      <c r="E25">
        <f t="shared" si="0"/>
        <v>155.60040557222791</v>
      </c>
      <c r="F25">
        <f t="shared" si="1"/>
        <v>84.542558227230188</v>
      </c>
    </row>
    <row r="26" spans="1:6" x14ac:dyDescent="0.2">
      <c r="A26">
        <v>5</v>
      </c>
      <c r="B26">
        <v>258.78807250640801</v>
      </c>
      <c r="C26">
        <v>0.61930934996501996</v>
      </c>
      <c r="D26">
        <v>0.35162828626408899</v>
      </c>
      <c r="E26">
        <f t="shared" si="0"/>
        <v>160.269872962644</v>
      </c>
      <c r="F26">
        <f t="shared" si="1"/>
        <v>90.997206441015052</v>
      </c>
    </row>
    <row r="27" spans="1:6" x14ac:dyDescent="0.2">
      <c r="A27">
        <v>5</v>
      </c>
      <c r="B27">
        <v>265.40117144212201</v>
      </c>
      <c r="C27">
        <v>0.61130419166052496</v>
      </c>
      <c r="D27">
        <v>0.27416193690898699</v>
      </c>
      <c r="E27">
        <f t="shared" si="0"/>
        <v>162.24084857418279</v>
      </c>
      <c r="F27">
        <f t="shared" si="1"/>
        <v>72.76289922048629</v>
      </c>
    </row>
    <row r="28" spans="1:6" x14ac:dyDescent="0.2">
      <c r="A28">
        <v>5</v>
      </c>
      <c r="B28">
        <v>262.15534428017997</v>
      </c>
      <c r="C28">
        <v>0.59863002218734396</v>
      </c>
      <c r="D28">
        <v>0.34967912712930199</v>
      </c>
      <c r="E28">
        <f t="shared" si="0"/>
        <v>156.93405956297494</v>
      </c>
      <c r="F28">
        <f t="shared" si="1"/>
        <v>91.67025196017498</v>
      </c>
    </row>
    <row r="29" spans="1:6" x14ac:dyDescent="0.2">
      <c r="A29">
        <v>5</v>
      </c>
      <c r="B29">
        <v>253.77789963539601</v>
      </c>
      <c r="C29">
        <v>0.58464522168039401</v>
      </c>
      <c r="D29">
        <v>0.31644380530030197</v>
      </c>
      <c r="E29">
        <f t="shared" si="0"/>
        <v>148.37003638992087</v>
      </c>
      <c r="F29">
        <f t="shared" si="1"/>
        <v>80.306444261742826</v>
      </c>
    </row>
    <row r="30" spans="1:6" x14ac:dyDescent="0.2">
      <c r="A30">
        <v>7</v>
      </c>
      <c r="B30">
        <v>282.68415890934301</v>
      </c>
      <c r="C30">
        <v>0.80718054609510803</v>
      </c>
      <c r="D30">
        <v>0.43014924186645698</v>
      </c>
      <c r="E30">
        <f t="shared" si="0"/>
        <v>228.1771537608798</v>
      </c>
      <c r="F30">
        <f t="shared" si="1"/>
        <v>121.59637664251095</v>
      </c>
    </row>
    <row r="31" spans="1:6" x14ac:dyDescent="0.2">
      <c r="A31">
        <v>7</v>
      </c>
      <c r="B31">
        <v>296.84269209053298</v>
      </c>
      <c r="C31">
        <v>0.81576238135492796</v>
      </c>
      <c r="D31">
        <v>0.405173349931917</v>
      </c>
      <c r="E31">
        <f t="shared" si="0"/>
        <v>242.15310138758082</v>
      </c>
      <c r="F31">
        <f t="shared" si="1"/>
        <v>120.27274795712981</v>
      </c>
    </row>
    <row r="32" spans="1:6" x14ac:dyDescent="0.2">
      <c r="A32">
        <v>7</v>
      </c>
      <c r="B32">
        <v>279.45605634183897</v>
      </c>
      <c r="C32">
        <v>0.75953747920959103</v>
      </c>
      <c r="D32">
        <v>0.41200744196978001</v>
      </c>
      <c r="E32">
        <f t="shared" si="0"/>
        <v>212.25734858373383</v>
      </c>
      <c r="F32">
        <f t="shared" si="1"/>
        <v>115.13797491636379</v>
      </c>
    </row>
    <row r="33" spans="1:6" x14ac:dyDescent="0.2">
      <c r="A33">
        <v>7</v>
      </c>
      <c r="B33">
        <v>279.74802307294499</v>
      </c>
      <c r="C33">
        <v>0.808259557831293</v>
      </c>
      <c r="D33">
        <v>0.44820171552563098</v>
      </c>
      <c r="E33">
        <f t="shared" si="0"/>
        <v>226.10901343311687</v>
      </c>
      <c r="F33">
        <f t="shared" si="1"/>
        <v>125.38354385619775</v>
      </c>
    </row>
    <row r="34" spans="1:6" x14ac:dyDescent="0.2">
      <c r="A34">
        <v>7</v>
      </c>
      <c r="B34">
        <v>270.532405327628</v>
      </c>
      <c r="C34">
        <v>0.81698462095272395</v>
      </c>
      <c r="D34">
        <v>0.40800133121891702</v>
      </c>
      <c r="E34">
        <f t="shared" si="0"/>
        <v>221.02081462202085</v>
      </c>
      <c r="F34">
        <f t="shared" si="1"/>
        <v>110.37758151152786</v>
      </c>
    </row>
    <row r="35" spans="1:6" x14ac:dyDescent="0.2">
      <c r="A35">
        <v>7</v>
      </c>
      <c r="B35">
        <v>294.80043247643698</v>
      </c>
      <c r="C35">
        <v>0.79694047181106198</v>
      </c>
      <c r="D35">
        <v>0.42691686515694799</v>
      </c>
      <c r="E35">
        <f t="shared" si="0"/>
        <v>234.9383957478768</v>
      </c>
      <c r="F35">
        <f t="shared" si="1"/>
        <v>125.855276479753</v>
      </c>
    </row>
    <row r="36" spans="1:6" x14ac:dyDescent="0.2">
      <c r="A36">
        <v>7</v>
      </c>
      <c r="B36">
        <v>291.10481585359003</v>
      </c>
      <c r="C36">
        <v>0.82962492137565702</v>
      </c>
      <c r="D36">
        <v>0.41436578057346901</v>
      </c>
      <c r="E36">
        <f t="shared" si="0"/>
        <v>241.50780996460975</v>
      </c>
      <c r="F36">
        <f t="shared" si="1"/>
        <v>120.62387424986879</v>
      </c>
    </row>
    <row r="37" spans="1:6" x14ac:dyDescent="0.2">
      <c r="A37">
        <v>7</v>
      </c>
      <c r="B37">
        <v>278.117195453389</v>
      </c>
      <c r="C37">
        <v>0.84322201975871502</v>
      </c>
      <c r="D37">
        <v>0.420066219303731</v>
      </c>
      <c r="E37">
        <f t="shared" si="0"/>
        <v>234.51454327983598</v>
      </c>
      <c r="F37">
        <f t="shared" si="1"/>
        <v>116.82763881746192</v>
      </c>
    </row>
    <row r="38" spans="1:6" x14ac:dyDescent="0.2">
      <c r="A38">
        <v>7</v>
      </c>
      <c r="B38">
        <v>288.43695355552899</v>
      </c>
      <c r="C38">
        <v>0.84476683295922395</v>
      </c>
      <c r="D38">
        <v>0.41610833978176698</v>
      </c>
      <c r="E38">
        <f t="shared" si="0"/>
        <v>243.66197176351099</v>
      </c>
      <c r="F38">
        <f t="shared" si="1"/>
        <v>120.02102187570179</v>
      </c>
    </row>
    <row r="39" spans="1:6" x14ac:dyDescent="0.2">
      <c r="A39">
        <v>7</v>
      </c>
      <c r="B39">
        <v>281.49957860385803</v>
      </c>
      <c r="C39">
        <v>0.64144445607213096</v>
      </c>
      <c r="D39">
        <v>0.40341730743679499</v>
      </c>
      <c r="E39">
        <f t="shared" si="0"/>
        <v>180.56634408208578</v>
      </c>
      <c r="F39">
        <f t="shared" si="1"/>
        <v>113.56180204496083</v>
      </c>
    </row>
    <row r="40" spans="1:6" x14ac:dyDescent="0.2">
      <c r="A40">
        <v>7</v>
      </c>
      <c r="B40">
        <v>305.06604159791902</v>
      </c>
      <c r="C40">
        <v>0.75332794377988699</v>
      </c>
      <c r="D40">
        <v>0.31786612032891998</v>
      </c>
      <c r="E40">
        <f t="shared" si="0"/>
        <v>229.81477383402981</v>
      </c>
      <c r="F40">
        <f t="shared" si="1"/>
        <v>96.97015908683143</v>
      </c>
    </row>
    <row r="41" spans="1:6" x14ac:dyDescent="0.2">
      <c r="A41">
        <v>7</v>
      </c>
      <c r="B41">
        <v>294.80210063093102</v>
      </c>
      <c r="C41">
        <v>0.81186507264813201</v>
      </c>
      <c r="D41">
        <v>0.443307036930499</v>
      </c>
      <c r="E41">
        <f t="shared" si="0"/>
        <v>239.33952884555273</v>
      </c>
      <c r="F41">
        <f t="shared" si="1"/>
        <v>130.68784571158483</v>
      </c>
    </row>
    <row r="42" spans="1:6" x14ac:dyDescent="0.2">
      <c r="A42">
        <v>7</v>
      </c>
      <c r="B42">
        <v>294.27950655188198</v>
      </c>
      <c r="C42">
        <v>0.78351440881423295</v>
      </c>
      <c r="D42">
        <v>0.379614618341229</v>
      </c>
      <c r="E42">
        <f t="shared" si="0"/>
        <v>230.57223360214201</v>
      </c>
      <c r="F42">
        <f t="shared" si="1"/>
        <v>111.71280256533788</v>
      </c>
    </row>
    <row r="43" spans="1:6" x14ac:dyDescent="0.2">
      <c r="A43">
        <v>7</v>
      </c>
      <c r="B43">
        <v>305.628120480353</v>
      </c>
      <c r="C43">
        <v>0.80699227983162902</v>
      </c>
      <c r="D43">
        <v>0.35785492126802398</v>
      </c>
      <c r="E43">
        <f t="shared" si="0"/>
        <v>246.63953372709585</v>
      </c>
      <c r="F43">
        <f t="shared" si="1"/>
        <v>109.37052699179087</v>
      </c>
    </row>
    <row r="44" spans="1:6" x14ac:dyDescent="0.2">
      <c r="A44">
        <v>7</v>
      </c>
      <c r="B44">
        <v>290.30211889097802</v>
      </c>
      <c r="C44">
        <v>0.75929325677385295</v>
      </c>
      <c r="D44">
        <v>0.42894486574239699</v>
      </c>
      <c r="E44">
        <f t="shared" si="0"/>
        <v>220.42444130108098</v>
      </c>
      <c r="F44">
        <f t="shared" si="1"/>
        <v>124.52360341242394</v>
      </c>
    </row>
    <row r="45" spans="1:6" x14ac:dyDescent="0.2">
      <c r="A45">
        <v>7</v>
      </c>
      <c r="B45">
        <v>284.93501487119801</v>
      </c>
      <c r="C45">
        <v>0.83697328456946496</v>
      </c>
      <c r="D45">
        <v>0.40617820967248403</v>
      </c>
      <c r="E45">
        <f t="shared" si="0"/>
        <v>238.48299528559593</v>
      </c>
      <c r="F45">
        <f t="shared" si="1"/>
        <v>115.73439421338581</v>
      </c>
    </row>
    <row r="46" spans="1:6" x14ac:dyDescent="0.2">
      <c r="A46">
        <v>7</v>
      </c>
      <c r="B46">
        <v>303.46513033350197</v>
      </c>
      <c r="C46">
        <v>0.88548426086330601</v>
      </c>
      <c r="D46">
        <v>0.44277587385311901</v>
      </c>
      <c r="E46">
        <f t="shared" si="0"/>
        <v>268.71359663114782</v>
      </c>
      <c r="F46">
        <f t="shared" si="1"/>
        <v>134.36703826736698</v>
      </c>
    </row>
    <row r="47" spans="1:6" x14ac:dyDescent="0.2">
      <c r="A47">
        <v>7</v>
      </c>
      <c r="B47">
        <v>272.75192450526401</v>
      </c>
      <c r="C47">
        <v>0.73780928149410396</v>
      </c>
      <c r="D47">
        <v>0.41062432674385901</v>
      </c>
      <c r="E47">
        <f t="shared" si="0"/>
        <v>201.23890144536293</v>
      </c>
      <c r="F47">
        <f t="shared" si="1"/>
        <v>111.9985753680659</v>
      </c>
    </row>
    <row r="48" spans="1:6" x14ac:dyDescent="0.2">
      <c r="A48">
        <v>10</v>
      </c>
      <c r="B48">
        <v>316.86207587198697</v>
      </c>
      <c r="C48">
        <v>0.82813121356541397</v>
      </c>
      <c r="D48">
        <v>0.46995630196332</v>
      </c>
      <c r="E48">
        <f t="shared" si="0"/>
        <v>262.40337542472486</v>
      </c>
      <c r="F48">
        <f t="shared" si="1"/>
        <v>148.91132940921992</v>
      </c>
    </row>
    <row r="49" spans="1:6" x14ac:dyDescent="0.2">
      <c r="A49">
        <v>10</v>
      </c>
      <c r="B49">
        <v>318.286725126406</v>
      </c>
      <c r="C49">
        <v>0.83782652573195604</v>
      </c>
      <c r="D49">
        <v>0.54226427431521795</v>
      </c>
      <c r="E49">
        <f t="shared" si="0"/>
        <v>266.66906109925884</v>
      </c>
      <c r="F49">
        <f t="shared" si="1"/>
        <v>172.59552002483781</v>
      </c>
    </row>
    <row r="50" spans="1:6" x14ac:dyDescent="0.2">
      <c r="A50">
        <v>10</v>
      </c>
      <c r="B50">
        <v>317.67119359792099</v>
      </c>
      <c r="C50">
        <v>0.89758915636731795</v>
      </c>
      <c r="D50">
        <v>0.55266573270192698</v>
      </c>
      <c r="E50">
        <f t="shared" si="0"/>
        <v>285.13821866375685</v>
      </c>
      <c r="F50">
        <f t="shared" si="1"/>
        <v>175.56598296809071</v>
      </c>
    </row>
    <row r="51" spans="1:6" x14ac:dyDescent="0.2">
      <c r="A51">
        <v>10</v>
      </c>
      <c r="B51">
        <v>300.095983979452</v>
      </c>
      <c r="C51">
        <v>0.85791929620922303</v>
      </c>
      <c r="D51">
        <v>0.50138508952142602</v>
      </c>
      <c r="E51">
        <f t="shared" si="0"/>
        <v>257.4581353708657</v>
      </c>
      <c r="F51">
        <f t="shared" si="1"/>
        <v>150.46365179255798</v>
      </c>
    </row>
    <row r="52" spans="1:6" x14ac:dyDescent="0.2">
      <c r="A52">
        <v>10</v>
      </c>
      <c r="B52">
        <v>289.77140934295198</v>
      </c>
      <c r="C52">
        <v>0.89171847378637803</v>
      </c>
      <c r="D52">
        <v>0.47446263470898897</v>
      </c>
      <c r="E52">
        <f t="shared" si="0"/>
        <v>258.39451888622494</v>
      </c>
      <c r="F52">
        <f t="shared" si="1"/>
        <v>137.48570634019393</v>
      </c>
    </row>
    <row r="53" spans="1:6" x14ac:dyDescent="0.2">
      <c r="A53">
        <v>10</v>
      </c>
      <c r="B53">
        <v>298.15931969526201</v>
      </c>
      <c r="C53">
        <v>0.85484777365494502</v>
      </c>
      <c r="D53">
        <v>0.51554616015451205</v>
      </c>
      <c r="E53">
        <f t="shared" si="0"/>
        <v>254.88083063596773</v>
      </c>
      <c r="F53">
        <f t="shared" si="1"/>
        <v>153.71489238317392</v>
      </c>
    </row>
    <row r="54" spans="1:6" x14ac:dyDescent="0.2">
      <c r="A54">
        <v>10</v>
      </c>
      <c r="B54">
        <v>322.33226440224797</v>
      </c>
      <c r="C54">
        <v>0.84464680751258703</v>
      </c>
      <c r="D54">
        <v>0.529583200702192</v>
      </c>
      <c r="E54">
        <f t="shared" si="0"/>
        <v>272.25691808566182</v>
      </c>
      <c r="F54">
        <f t="shared" si="1"/>
        <v>170.70175227172771</v>
      </c>
    </row>
    <row r="55" spans="1:6" x14ac:dyDescent="0.2">
      <c r="A55">
        <v>10</v>
      </c>
      <c r="B55">
        <v>309.50629069738198</v>
      </c>
      <c r="C55">
        <v>0.85519763266254001</v>
      </c>
      <c r="D55">
        <v>0.54006825998375296</v>
      </c>
      <c r="E55">
        <f t="shared" si="0"/>
        <v>264.68904709856503</v>
      </c>
      <c r="F55">
        <f t="shared" si="1"/>
        <v>167.1545238709607</v>
      </c>
    </row>
    <row r="56" spans="1:6" x14ac:dyDescent="0.2">
      <c r="A56">
        <v>10</v>
      </c>
      <c r="B56">
        <v>322.67840661683999</v>
      </c>
      <c r="C56">
        <v>0.88633848382612501</v>
      </c>
      <c r="D56">
        <v>0.51710947440051502</v>
      </c>
      <c r="E56">
        <f t="shared" si="0"/>
        <v>286.00228968419981</v>
      </c>
      <c r="F56">
        <f t="shared" si="1"/>
        <v>166.8600612460298</v>
      </c>
    </row>
    <row r="57" spans="1:6" x14ac:dyDescent="0.2">
      <c r="A57">
        <v>10</v>
      </c>
      <c r="B57">
        <v>332.53618535115402</v>
      </c>
      <c r="C57">
        <v>0.89764878346315902</v>
      </c>
      <c r="D57">
        <v>0.55096884095369603</v>
      </c>
      <c r="E57">
        <f t="shared" si="0"/>
        <v>298.50070223794296</v>
      </c>
      <c r="F57">
        <f t="shared" si="1"/>
        <v>183.21707661808875</v>
      </c>
    </row>
    <row r="58" spans="1:6" x14ac:dyDescent="0.2">
      <c r="A58">
        <v>10</v>
      </c>
      <c r="B58">
        <v>334.244316758043</v>
      </c>
      <c r="C58">
        <v>0.87028641042353105</v>
      </c>
      <c r="D58">
        <v>0.532346327023699</v>
      </c>
      <c r="E58">
        <f t="shared" si="0"/>
        <v>290.88828663582291</v>
      </c>
      <c r="F58">
        <f t="shared" si="1"/>
        <v>177.93373435468999</v>
      </c>
    </row>
    <row r="59" spans="1:6" x14ac:dyDescent="0.2">
      <c r="A59">
        <v>10</v>
      </c>
      <c r="B59">
        <v>302.71308326042498</v>
      </c>
      <c r="C59">
        <v>0.84483297506689903</v>
      </c>
      <c r="D59">
        <v>0.49965641638272001</v>
      </c>
      <c r="E59">
        <f t="shared" si="0"/>
        <v>255.74199472257874</v>
      </c>
      <c r="F59">
        <f t="shared" si="1"/>
        <v>151.25253437406789</v>
      </c>
    </row>
    <row r="60" spans="1:6" x14ac:dyDescent="0.2">
      <c r="A60">
        <v>10</v>
      </c>
      <c r="B60">
        <v>308.48134302612402</v>
      </c>
      <c r="C60">
        <v>0.83131362305231105</v>
      </c>
      <c r="D60">
        <v>0.517136135051662</v>
      </c>
      <c r="E60">
        <f t="shared" si="0"/>
        <v>256.44474291508993</v>
      </c>
      <c r="F60">
        <f t="shared" si="1"/>
        <v>159.52684946807574</v>
      </c>
    </row>
    <row r="61" spans="1:6" x14ac:dyDescent="0.2">
      <c r="A61">
        <v>10</v>
      </c>
      <c r="B61">
        <v>344.52723039413098</v>
      </c>
      <c r="C61">
        <v>0.89403441824203</v>
      </c>
      <c r="D61">
        <v>0.55025182940510597</v>
      </c>
      <c r="E61">
        <f t="shared" si="0"/>
        <v>308.01920199395471</v>
      </c>
      <c r="F61">
        <f t="shared" si="1"/>
        <v>189.576738804245</v>
      </c>
    </row>
    <row r="62" spans="1:6" x14ac:dyDescent="0.2">
      <c r="A62">
        <v>10</v>
      </c>
      <c r="B62">
        <v>335.775377252385</v>
      </c>
      <c r="C62">
        <v>0.86176444278215603</v>
      </c>
      <c r="D62">
        <v>0.53717032902390305</v>
      </c>
      <c r="E62">
        <f t="shared" si="0"/>
        <v>289.35928087786976</v>
      </c>
      <c r="F62">
        <f t="shared" si="1"/>
        <v>180.36856987678883</v>
      </c>
    </row>
    <row r="63" spans="1:6" x14ac:dyDescent="0.2">
      <c r="A63">
        <v>12</v>
      </c>
      <c r="B63">
        <v>333.19879336136302</v>
      </c>
      <c r="C63">
        <v>0.91205039791216902</v>
      </c>
      <c r="D63">
        <v>0.62619190512300305</v>
      </c>
      <c r="E63">
        <f t="shared" si="0"/>
        <v>303.89409206908573</v>
      </c>
      <c r="F63">
        <f t="shared" si="1"/>
        <v>208.64638719963773</v>
      </c>
    </row>
    <row r="64" spans="1:6" x14ac:dyDescent="0.2">
      <c r="A64">
        <v>12</v>
      </c>
      <c r="B64">
        <v>319.562709740738</v>
      </c>
      <c r="C64">
        <v>0.88742850549278496</v>
      </c>
      <c r="D64">
        <v>0.61627865508188495</v>
      </c>
      <c r="E64">
        <f t="shared" si="0"/>
        <v>283.58905791644776</v>
      </c>
      <c r="F64">
        <f t="shared" si="1"/>
        <v>196.9396769733448</v>
      </c>
    </row>
    <row r="65" spans="1:6" x14ac:dyDescent="0.2">
      <c r="A65">
        <v>12</v>
      </c>
      <c r="B65">
        <v>334.81542934536799</v>
      </c>
      <c r="C65">
        <v>0.89140405131203904</v>
      </c>
      <c r="D65">
        <v>0.62774492317133002</v>
      </c>
      <c r="E65">
        <f t="shared" si="0"/>
        <v>298.45583016024079</v>
      </c>
      <c r="F65">
        <f t="shared" si="1"/>
        <v>210.17868597098391</v>
      </c>
    </row>
    <row r="66" spans="1:6" x14ac:dyDescent="0.2">
      <c r="A66">
        <v>12</v>
      </c>
      <c r="B66">
        <v>329.39653519873502</v>
      </c>
      <c r="C66">
        <v>0.85813477672435901</v>
      </c>
      <c r="D66">
        <v>0.648349280849427</v>
      </c>
      <c r="E66">
        <f t="shared" si="0"/>
        <v>282.66662218654392</v>
      </c>
      <c r="F66">
        <f t="shared" si="1"/>
        <v>213.56400671039282</v>
      </c>
    </row>
    <row r="67" spans="1:6" x14ac:dyDescent="0.2">
      <c r="A67">
        <v>12</v>
      </c>
      <c r="B67">
        <v>318.81932734914699</v>
      </c>
      <c r="C67">
        <v>0.83225471341444301</v>
      </c>
      <c r="D67">
        <v>0.62590479859665205</v>
      </c>
      <c r="E67">
        <f t="shared" si="0"/>
        <v>265.3388879139498</v>
      </c>
      <c r="F67">
        <f t="shared" si="1"/>
        <v>199.55054687318793</v>
      </c>
    </row>
    <row r="68" spans="1:6" x14ac:dyDescent="0.2">
      <c r="A68">
        <v>12</v>
      </c>
      <c r="B68">
        <v>327.85968566879399</v>
      </c>
      <c r="C68">
        <v>0.86222754062403295</v>
      </c>
      <c r="D68">
        <v>0.64601440721461501</v>
      </c>
      <c r="E68">
        <f t="shared" si="0"/>
        <v>282.68965044397277</v>
      </c>
      <c r="F68">
        <f t="shared" si="1"/>
        <v>211.80208048689596</v>
      </c>
    </row>
    <row r="69" spans="1:6" x14ac:dyDescent="0.2">
      <c r="A69">
        <v>12</v>
      </c>
      <c r="B69">
        <v>320.41182217635702</v>
      </c>
      <c r="C69">
        <v>0.81938203881097105</v>
      </c>
      <c r="D69">
        <v>0.47453625788077802</v>
      </c>
      <c r="E69">
        <f t="shared" si="0"/>
        <v>262.5396921140017</v>
      </c>
      <c r="F69">
        <f t="shared" si="1"/>
        <v>152.04702707632975</v>
      </c>
    </row>
    <row r="70" spans="1:6" x14ac:dyDescent="0.2">
      <c r="A70">
        <v>12</v>
      </c>
      <c r="B70">
        <v>319.71502423287399</v>
      </c>
      <c r="C70">
        <v>0.89278157970510097</v>
      </c>
      <c r="D70">
        <v>0.60146637903087996</v>
      </c>
      <c r="E70">
        <f t="shared" ref="E70:E133" si="2">C70*B70</f>
        <v>285.43568439007987</v>
      </c>
      <c r="F70">
        <f t="shared" ref="F70:F133" si="3">D70*B70</f>
        <v>192.29783794711676</v>
      </c>
    </row>
    <row r="71" spans="1:6" x14ac:dyDescent="0.2">
      <c r="A71">
        <v>12</v>
      </c>
      <c r="B71">
        <v>329.90523989191399</v>
      </c>
      <c r="C71">
        <v>0.86056234120842001</v>
      </c>
      <c r="D71">
        <v>0.62077249611277996</v>
      </c>
      <c r="E71">
        <f t="shared" si="2"/>
        <v>283.90402561831092</v>
      </c>
      <c r="F71">
        <f t="shared" si="3"/>
        <v>204.79609924838891</v>
      </c>
    </row>
    <row r="72" spans="1:6" x14ac:dyDescent="0.2">
      <c r="A72">
        <v>12</v>
      </c>
      <c r="B72">
        <v>334.775769625907</v>
      </c>
      <c r="C72">
        <v>0.84323135307778296</v>
      </c>
      <c r="D72">
        <v>0.608800353387417</v>
      </c>
      <c r="E72">
        <f t="shared" si="2"/>
        <v>282.2934251993097</v>
      </c>
      <c r="F72">
        <f t="shared" si="3"/>
        <v>203.81160685379669</v>
      </c>
    </row>
    <row r="73" spans="1:6" x14ac:dyDescent="0.2">
      <c r="A73">
        <v>12</v>
      </c>
      <c r="B73">
        <v>318.49755683425298</v>
      </c>
      <c r="C73">
        <v>0.88223513957727995</v>
      </c>
      <c r="D73">
        <v>0.61087387312108499</v>
      </c>
      <c r="E73">
        <f t="shared" si="2"/>
        <v>280.98973650868982</v>
      </c>
      <c r="F73">
        <f t="shared" si="3"/>
        <v>194.56183612294302</v>
      </c>
    </row>
    <row r="74" spans="1:6" x14ac:dyDescent="0.2">
      <c r="A74">
        <v>12</v>
      </c>
      <c r="B74">
        <v>330.71887813213999</v>
      </c>
      <c r="C74">
        <v>0.88855932368976698</v>
      </c>
      <c r="D74">
        <v>0.61570274886514598</v>
      </c>
      <c r="E74">
        <f t="shared" si="2"/>
        <v>293.86334268453277</v>
      </c>
      <c r="F74">
        <f t="shared" si="3"/>
        <v>203.62452236755581</v>
      </c>
    </row>
    <row r="75" spans="1:6" x14ac:dyDescent="0.2">
      <c r="A75">
        <v>12</v>
      </c>
      <c r="B75">
        <v>323.81334282355101</v>
      </c>
      <c r="C75">
        <v>0.82658871605157003</v>
      </c>
      <c r="D75">
        <v>0.58478939131796204</v>
      </c>
      <c r="E75">
        <f t="shared" si="2"/>
        <v>267.66045528488593</v>
      </c>
      <c r="F75">
        <f t="shared" si="3"/>
        <v>189.36260765041897</v>
      </c>
    </row>
    <row r="76" spans="1:6" x14ac:dyDescent="0.2">
      <c r="A76">
        <v>12</v>
      </c>
      <c r="B76">
        <v>346.05827068090798</v>
      </c>
      <c r="C76">
        <v>0.85752791829469399</v>
      </c>
      <c r="D76">
        <v>0.61019041591743906</v>
      </c>
      <c r="E76">
        <f t="shared" si="2"/>
        <v>296.75462846566074</v>
      </c>
      <c r="F76">
        <f t="shared" si="3"/>
        <v>211.16144011845296</v>
      </c>
    </row>
    <row r="77" spans="1:6" x14ac:dyDescent="0.2">
      <c r="A77">
        <v>12</v>
      </c>
      <c r="B77">
        <v>316.54841400120398</v>
      </c>
      <c r="C77">
        <v>0.871223118753503</v>
      </c>
      <c r="D77">
        <v>0.59222858347048601</v>
      </c>
      <c r="E77">
        <f t="shared" si="2"/>
        <v>275.78429648260396</v>
      </c>
      <c r="F77">
        <f t="shared" si="3"/>
        <v>187.46901882376199</v>
      </c>
    </row>
    <row r="78" spans="1:6" x14ac:dyDescent="0.2">
      <c r="A78">
        <v>12</v>
      </c>
      <c r="B78">
        <v>331.13051683714201</v>
      </c>
      <c r="C78">
        <v>0.85815345796240505</v>
      </c>
      <c r="D78">
        <v>0.59196020585239295</v>
      </c>
      <c r="E78">
        <f t="shared" si="2"/>
        <v>284.16079806067182</v>
      </c>
      <c r="F78">
        <f t="shared" si="3"/>
        <v>196.01608891092386</v>
      </c>
    </row>
    <row r="79" spans="1:6" x14ac:dyDescent="0.2">
      <c r="A79">
        <v>12</v>
      </c>
      <c r="B79">
        <v>335.011455626631</v>
      </c>
      <c r="C79">
        <v>0.86522090561721998</v>
      </c>
      <c r="D79">
        <v>0.59062580346278704</v>
      </c>
      <c r="E79">
        <f t="shared" si="2"/>
        <v>289.85891502941678</v>
      </c>
      <c r="F79">
        <f t="shared" si="3"/>
        <v>197.86641014871677</v>
      </c>
    </row>
    <row r="80" spans="1:6" x14ac:dyDescent="0.2">
      <c r="A80">
        <v>12</v>
      </c>
      <c r="B80">
        <v>326.12414654874402</v>
      </c>
      <c r="C80">
        <v>0.83647627818621695</v>
      </c>
      <c r="D80">
        <v>0.60551199876351902</v>
      </c>
      <c r="E80">
        <f t="shared" si="2"/>
        <v>272.79511233174981</v>
      </c>
      <c r="F80">
        <f t="shared" si="3"/>
        <v>197.47208382177678</v>
      </c>
    </row>
    <row r="81" spans="1:6" x14ac:dyDescent="0.2">
      <c r="A81">
        <v>12</v>
      </c>
      <c r="B81">
        <v>332.16330387765697</v>
      </c>
      <c r="C81">
        <v>0.89187448285980897</v>
      </c>
      <c r="D81">
        <v>0.62171420511009001</v>
      </c>
      <c r="E81">
        <f t="shared" si="2"/>
        <v>296.24797487089091</v>
      </c>
      <c r="F81">
        <f t="shared" si="3"/>
        <v>206.51064443703879</v>
      </c>
    </row>
    <row r="82" spans="1:6" x14ac:dyDescent="0.2">
      <c r="A82">
        <v>12</v>
      </c>
      <c r="B82">
        <v>333.92194634056199</v>
      </c>
      <c r="C82">
        <v>0.87549411532795096</v>
      </c>
      <c r="D82">
        <v>0.58406662261327102</v>
      </c>
      <c r="E82">
        <f t="shared" si="2"/>
        <v>292.34669900001785</v>
      </c>
      <c r="F82">
        <f t="shared" si="3"/>
        <v>195.03266341558196</v>
      </c>
    </row>
    <row r="83" spans="1:6" x14ac:dyDescent="0.2">
      <c r="A83">
        <v>12</v>
      </c>
      <c r="B83">
        <v>325.58612387378201</v>
      </c>
      <c r="C83">
        <v>0.858133166996634</v>
      </c>
      <c r="D83">
        <v>0.60037781315289196</v>
      </c>
      <c r="E83">
        <f t="shared" si="2"/>
        <v>279.39625160996695</v>
      </c>
      <c r="F83">
        <f t="shared" si="3"/>
        <v>195.47468504426783</v>
      </c>
    </row>
    <row r="84" spans="1:6" x14ac:dyDescent="0.2">
      <c r="A84">
        <v>14</v>
      </c>
      <c r="B84">
        <v>335.18389326545002</v>
      </c>
      <c r="C84">
        <v>0.86094669779539101</v>
      </c>
      <c r="D84">
        <v>0.64765145608623198</v>
      </c>
      <c r="E84">
        <f t="shared" si="2"/>
        <v>288.57546606109202</v>
      </c>
      <c r="F84">
        <f t="shared" si="3"/>
        <v>217.08233653002088</v>
      </c>
    </row>
    <row r="85" spans="1:6" x14ac:dyDescent="0.2">
      <c r="A85">
        <v>14</v>
      </c>
      <c r="B85">
        <v>348.433260317514</v>
      </c>
      <c r="C85">
        <v>0.86726432765346595</v>
      </c>
      <c r="D85">
        <v>0.644005910774749</v>
      </c>
      <c r="E85">
        <f t="shared" si="2"/>
        <v>302.18373724137388</v>
      </c>
      <c r="F85">
        <f t="shared" si="3"/>
        <v>224.3930791549958</v>
      </c>
    </row>
    <row r="86" spans="1:6" x14ac:dyDescent="0.2">
      <c r="A86">
        <v>14</v>
      </c>
      <c r="B86">
        <v>339.72775177649498</v>
      </c>
      <c r="C86">
        <v>0.85781531356469198</v>
      </c>
      <c r="D86">
        <v>0.64913101868522605</v>
      </c>
      <c r="E86">
        <f t="shared" si="2"/>
        <v>291.42366791678188</v>
      </c>
      <c r="F86">
        <f t="shared" si="3"/>
        <v>220.5278215863178</v>
      </c>
    </row>
    <row r="87" spans="1:6" x14ac:dyDescent="0.2">
      <c r="A87">
        <v>14</v>
      </c>
      <c r="B87">
        <v>346.95593508310202</v>
      </c>
      <c r="C87">
        <v>0.91048242994078998</v>
      </c>
      <c r="D87">
        <v>0.66567048695464204</v>
      </c>
      <c r="E87">
        <f t="shared" si="2"/>
        <v>315.89728285684168</v>
      </c>
      <c r="F87">
        <f t="shared" si="3"/>
        <v>230.9583262585717</v>
      </c>
    </row>
    <row r="88" spans="1:6" x14ac:dyDescent="0.2">
      <c r="A88">
        <v>14</v>
      </c>
      <c r="B88">
        <v>344.49083007551701</v>
      </c>
      <c r="C88">
        <v>0.89449390884982105</v>
      </c>
      <c r="D88">
        <v>0.63334860745488697</v>
      </c>
      <c r="E88">
        <f t="shared" si="2"/>
        <v>308.1449491571687</v>
      </c>
      <c r="F88">
        <f t="shared" si="3"/>
        <v>218.18278750930679</v>
      </c>
    </row>
    <row r="89" spans="1:6" x14ac:dyDescent="0.2">
      <c r="A89">
        <v>14</v>
      </c>
      <c r="B89">
        <v>333.58747102636698</v>
      </c>
      <c r="C89">
        <v>0.84410740627738201</v>
      </c>
      <c r="D89">
        <v>0.62691611144270798</v>
      </c>
      <c r="E89">
        <f t="shared" si="2"/>
        <v>281.58365493469796</v>
      </c>
      <c r="F89">
        <f t="shared" si="3"/>
        <v>209.131360161857</v>
      </c>
    </row>
    <row r="90" spans="1:6" x14ac:dyDescent="0.2">
      <c r="A90">
        <v>14</v>
      </c>
      <c r="B90">
        <v>346.698582210138</v>
      </c>
      <c r="C90">
        <v>0.889133216404286</v>
      </c>
      <c r="D90">
        <v>0.66134755245478805</v>
      </c>
      <c r="E90">
        <f t="shared" si="2"/>
        <v>308.26122552330577</v>
      </c>
      <c r="F90">
        <f t="shared" si="3"/>
        <v>229.28825878421989</v>
      </c>
    </row>
    <row r="91" spans="1:6" x14ac:dyDescent="0.2">
      <c r="A91">
        <v>14</v>
      </c>
      <c r="B91">
        <v>363.71648345370602</v>
      </c>
      <c r="C91">
        <v>0.90018548491134598</v>
      </c>
      <c r="D91">
        <v>0.616899843572425</v>
      </c>
      <c r="E91">
        <f t="shared" si="2"/>
        <v>327.41229902802388</v>
      </c>
      <c r="F91">
        <f t="shared" si="3"/>
        <v>224.37664174730375</v>
      </c>
    </row>
    <row r="92" spans="1:6" x14ac:dyDescent="0.2">
      <c r="A92">
        <v>14</v>
      </c>
      <c r="B92">
        <v>352.08513962189801</v>
      </c>
      <c r="C92">
        <v>0.86356593680744598</v>
      </c>
      <c r="D92">
        <v>0.67644519493853394</v>
      </c>
      <c r="E92">
        <f t="shared" si="2"/>
        <v>304.04873343356479</v>
      </c>
      <c r="F92">
        <f t="shared" si="3"/>
        <v>238.16630090649574</v>
      </c>
    </row>
    <row r="93" spans="1:6" x14ac:dyDescent="0.2">
      <c r="A93">
        <v>14</v>
      </c>
      <c r="B93">
        <v>385.87223537270597</v>
      </c>
      <c r="C93">
        <v>0.90333988155046896</v>
      </c>
      <c r="D93">
        <v>0.62002371983943105</v>
      </c>
      <c r="E93">
        <f t="shared" si="2"/>
        <v>348.57377939519489</v>
      </c>
      <c r="F93">
        <f t="shared" si="3"/>
        <v>239.24993875854165</v>
      </c>
    </row>
    <row r="94" spans="1:6" x14ac:dyDescent="0.2">
      <c r="A94">
        <v>14</v>
      </c>
      <c r="B94">
        <v>379.37131634577901</v>
      </c>
      <c r="C94">
        <v>0.89971312496050704</v>
      </c>
      <c r="D94">
        <v>0.62446313988899604</v>
      </c>
      <c r="E94">
        <f t="shared" si="2"/>
        <v>341.32535254984191</v>
      </c>
      <c r="F94">
        <f t="shared" si="3"/>
        <v>236.90340338910676</v>
      </c>
    </row>
    <row r="95" spans="1:6" x14ac:dyDescent="0.2">
      <c r="A95">
        <v>14</v>
      </c>
      <c r="B95">
        <v>373.975388637663</v>
      </c>
      <c r="C95">
        <v>0.89145230234227502</v>
      </c>
      <c r="D95">
        <v>0.62080749220327303</v>
      </c>
      <c r="E95">
        <f t="shared" si="2"/>
        <v>333.38122122039175</v>
      </c>
      <c r="F95">
        <f t="shared" si="3"/>
        <v>232.16672316589197</v>
      </c>
    </row>
    <row r="96" spans="1:6" x14ac:dyDescent="0.2">
      <c r="A96">
        <v>14</v>
      </c>
      <c r="B96">
        <v>383.59252334795502</v>
      </c>
      <c r="C96">
        <v>0.93050992311790803</v>
      </c>
      <c r="D96">
        <v>0.63281318451408497</v>
      </c>
      <c r="E96">
        <f t="shared" si="2"/>
        <v>356.93664940910998</v>
      </c>
      <c r="F96">
        <f t="shared" si="3"/>
        <v>242.74240625561291</v>
      </c>
    </row>
    <row r="97" spans="1:6" x14ac:dyDescent="0.2">
      <c r="A97">
        <v>16</v>
      </c>
      <c r="B97">
        <v>335.40756311109101</v>
      </c>
      <c r="C97">
        <v>0.85484293980556902</v>
      </c>
      <c r="D97">
        <v>0.75587111570463095</v>
      </c>
      <c r="E97">
        <f t="shared" si="2"/>
        <v>286.72078728290694</v>
      </c>
      <c r="F97">
        <f t="shared" si="3"/>
        <v>253.52488894455178</v>
      </c>
    </row>
    <row r="98" spans="1:6" x14ac:dyDescent="0.2">
      <c r="A98">
        <v>16</v>
      </c>
      <c r="B98">
        <v>309.55792558903897</v>
      </c>
      <c r="C98">
        <v>0.87710634705213897</v>
      </c>
      <c r="D98">
        <v>0.75900002874293504</v>
      </c>
      <c r="E98">
        <f t="shared" si="2"/>
        <v>271.51522131443983</v>
      </c>
      <c r="F98">
        <f t="shared" si="3"/>
        <v>234.95447441968392</v>
      </c>
    </row>
    <row r="99" spans="1:6" x14ac:dyDescent="0.2">
      <c r="A99">
        <v>16</v>
      </c>
      <c r="B99">
        <v>308.74665950637598</v>
      </c>
      <c r="C99">
        <v>0.85573208303460402</v>
      </c>
      <c r="D99">
        <v>0.70260550452630599</v>
      </c>
      <c r="E99">
        <f t="shared" si="2"/>
        <v>264.20442206936673</v>
      </c>
      <c r="F99">
        <f t="shared" si="3"/>
        <v>216.9271024732889</v>
      </c>
    </row>
    <row r="100" spans="1:6" x14ac:dyDescent="0.2">
      <c r="A100">
        <v>16</v>
      </c>
      <c r="B100">
        <v>336.00816674489403</v>
      </c>
      <c r="C100">
        <v>0.91701919843666702</v>
      </c>
      <c r="D100">
        <v>0.69120455907515599</v>
      </c>
      <c r="E100">
        <f t="shared" si="2"/>
        <v>308.1259397365767</v>
      </c>
      <c r="F100">
        <f t="shared" si="3"/>
        <v>232.25037674055596</v>
      </c>
    </row>
    <row r="101" spans="1:6" x14ac:dyDescent="0.2">
      <c r="A101">
        <v>16</v>
      </c>
      <c r="B101">
        <v>331.679562203307</v>
      </c>
      <c r="C101">
        <v>0.92463405921184905</v>
      </c>
      <c r="D101">
        <v>0.72061552360160697</v>
      </c>
      <c r="E101">
        <f t="shared" si="2"/>
        <v>306.68221995765276</v>
      </c>
      <c r="F101">
        <f t="shared" si="3"/>
        <v>239.01344138508784</v>
      </c>
    </row>
    <row r="102" spans="1:6" x14ac:dyDescent="0.2">
      <c r="A102">
        <v>16</v>
      </c>
      <c r="B102">
        <v>335.62815344280301</v>
      </c>
      <c r="C102">
        <v>0.91157579646889297</v>
      </c>
      <c r="D102">
        <v>0.70928437967292501</v>
      </c>
      <c r="E102">
        <f t="shared" si="2"/>
        <v>305.950501292007</v>
      </c>
      <c r="F102">
        <f t="shared" si="3"/>
        <v>238.05580661544784</v>
      </c>
    </row>
    <row r="103" spans="1:6" x14ac:dyDescent="0.2">
      <c r="A103">
        <v>16</v>
      </c>
      <c r="B103">
        <v>363.78813667576401</v>
      </c>
      <c r="C103">
        <v>0.89172635984347004</v>
      </c>
      <c r="D103">
        <v>0.67799172150651299</v>
      </c>
      <c r="E103">
        <f t="shared" si="2"/>
        <v>324.39947087211777</v>
      </c>
      <c r="F103">
        <f t="shared" si="3"/>
        <v>246.64534504844787</v>
      </c>
    </row>
    <row r="104" spans="1:6" x14ac:dyDescent="0.2">
      <c r="A104">
        <v>16</v>
      </c>
      <c r="B104">
        <v>366.916304087529</v>
      </c>
      <c r="C104">
        <v>0.87439297996052801</v>
      </c>
      <c r="D104">
        <v>0.58574828103259702</v>
      </c>
      <c r="E104">
        <f t="shared" si="2"/>
        <v>320.82904052719772</v>
      </c>
      <c r="F104">
        <f t="shared" si="3"/>
        <v>214.92059440210377</v>
      </c>
    </row>
    <row r="105" spans="1:6" x14ac:dyDescent="0.2">
      <c r="A105">
        <v>16</v>
      </c>
      <c r="B105">
        <v>349.85234259804702</v>
      </c>
      <c r="C105">
        <v>0.90307833687675199</v>
      </c>
      <c r="D105">
        <v>0.68081546038999297</v>
      </c>
      <c r="E105">
        <f t="shared" si="2"/>
        <v>315.94407170587994</v>
      </c>
      <c r="F105">
        <f t="shared" si="3"/>
        <v>238.18488369440692</v>
      </c>
    </row>
    <row r="106" spans="1:6" x14ac:dyDescent="0.2">
      <c r="A106">
        <v>16</v>
      </c>
      <c r="B106">
        <v>333.10284488426998</v>
      </c>
      <c r="C106">
        <v>0.91912338215725498</v>
      </c>
      <c r="D106">
        <v>0.71712868976628896</v>
      </c>
      <c r="E106">
        <f t="shared" si="2"/>
        <v>306.16261339623372</v>
      </c>
      <c r="F106">
        <f t="shared" si="3"/>
        <v>238.87760670927992</v>
      </c>
    </row>
    <row r="107" spans="1:6" x14ac:dyDescent="0.2">
      <c r="A107">
        <v>16</v>
      </c>
      <c r="B107">
        <v>375.90934146711197</v>
      </c>
      <c r="C107">
        <v>0.91956969257987098</v>
      </c>
      <c r="D107">
        <v>0.69245192550895696</v>
      </c>
      <c r="E107">
        <f t="shared" si="2"/>
        <v>345.67483757081391</v>
      </c>
      <c r="F107">
        <f t="shared" si="3"/>
        <v>260.29914731570568</v>
      </c>
    </row>
    <row r="108" spans="1:6" x14ac:dyDescent="0.2">
      <c r="A108">
        <v>16</v>
      </c>
      <c r="B108">
        <v>356.42531998172598</v>
      </c>
      <c r="C108">
        <v>0.93083595805803598</v>
      </c>
      <c r="D108">
        <v>0.68974760416810299</v>
      </c>
      <c r="E108">
        <f t="shared" si="2"/>
        <v>331.77350420133195</v>
      </c>
      <c r="F108">
        <f t="shared" si="3"/>
        <v>245.84351052224497</v>
      </c>
    </row>
    <row r="109" spans="1:6" x14ac:dyDescent="0.2">
      <c r="A109">
        <v>16</v>
      </c>
      <c r="B109">
        <v>350.52360494024401</v>
      </c>
      <c r="C109">
        <v>0.93046492509313505</v>
      </c>
      <c r="D109">
        <v>0.71997740332308202</v>
      </c>
      <c r="E109">
        <f t="shared" si="2"/>
        <v>326.1499198140998</v>
      </c>
      <c r="F109">
        <f t="shared" si="3"/>
        <v>252.36907488832273</v>
      </c>
    </row>
    <row r="110" spans="1:6" x14ac:dyDescent="0.2">
      <c r="A110">
        <v>16</v>
      </c>
      <c r="B110">
        <v>360.914999725141</v>
      </c>
      <c r="C110">
        <v>0.89197930726743502</v>
      </c>
      <c r="D110">
        <v>0.68299666450351904</v>
      </c>
      <c r="E110">
        <f t="shared" si="2"/>
        <v>321.92871143725779</v>
      </c>
      <c r="F110">
        <f t="shared" si="3"/>
        <v>246.50374098155979</v>
      </c>
    </row>
    <row r="111" spans="1:6" x14ac:dyDescent="0.2">
      <c r="A111">
        <v>16</v>
      </c>
      <c r="B111">
        <v>348.07458349366198</v>
      </c>
      <c r="C111">
        <v>0.90871100552945205</v>
      </c>
      <c r="D111">
        <v>0.71596174602031104</v>
      </c>
      <c r="E111">
        <f t="shared" si="2"/>
        <v>316.29920476577081</v>
      </c>
      <c r="F111">
        <f t="shared" si="3"/>
        <v>249.20808654341477</v>
      </c>
    </row>
    <row r="112" spans="1:6" x14ac:dyDescent="0.2">
      <c r="A112">
        <v>16</v>
      </c>
      <c r="B112">
        <v>350.76202873152101</v>
      </c>
      <c r="C112">
        <v>0.88815616550844501</v>
      </c>
      <c r="D112">
        <v>0.69715585391969104</v>
      </c>
      <c r="E112">
        <f t="shared" si="2"/>
        <v>311.5314584441507</v>
      </c>
      <c r="F112">
        <f t="shared" si="3"/>
        <v>244.53580166292673</v>
      </c>
    </row>
    <row r="113" spans="1:6" x14ac:dyDescent="0.2">
      <c r="A113">
        <v>16</v>
      </c>
      <c r="B113">
        <v>373.599112078448</v>
      </c>
      <c r="C113">
        <v>0.87004667973093996</v>
      </c>
      <c r="D113">
        <v>0.64379425417538605</v>
      </c>
      <c r="E113">
        <f t="shared" si="2"/>
        <v>325.04866701428097</v>
      </c>
      <c r="F113">
        <f t="shared" si="3"/>
        <v>240.5209617211309</v>
      </c>
    </row>
    <row r="114" spans="1:6" x14ac:dyDescent="0.2">
      <c r="A114">
        <v>16</v>
      </c>
      <c r="B114">
        <v>374.27640030467199</v>
      </c>
      <c r="C114">
        <v>0.90956525022730705</v>
      </c>
      <c r="D114">
        <v>0.71455437473051497</v>
      </c>
      <c r="E114">
        <f t="shared" si="2"/>
        <v>340.4288076972947</v>
      </c>
      <c r="F114">
        <f t="shared" si="3"/>
        <v>267.44083919609284</v>
      </c>
    </row>
    <row r="115" spans="1:6" x14ac:dyDescent="0.2">
      <c r="A115">
        <v>16</v>
      </c>
      <c r="B115">
        <v>365.236426561565</v>
      </c>
      <c r="C115">
        <v>0.85946932059509595</v>
      </c>
      <c r="D115">
        <v>0.63631068222398501</v>
      </c>
      <c r="E115">
        <f t="shared" si="2"/>
        <v>313.90950339344892</v>
      </c>
      <c r="F115">
        <f t="shared" si="3"/>
        <v>232.40383975843983</v>
      </c>
    </row>
    <row r="116" spans="1:6" x14ac:dyDescent="0.2">
      <c r="A116">
        <v>18</v>
      </c>
      <c r="B116">
        <v>368.05712732302499</v>
      </c>
      <c r="C116">
        <v>0.90614487129045695</v>
      </c>
      <c r="D116">
        <v>0.73370100631763402</v>
      </c>
      <c r="E116">
        <f t="shared" si="2"/>
        <v>333.51307826565778</v>
      </c>
      <c r="F116">
        <f t="shared" si="3"/>
        <v>270.04388469928097</v>
      </c>
    </row>
    <row r="117" spans="1:6" x14ac:dyDescent="0.2">
      <c r="A117">
        <v>18</v>
      </c>
      <c r="B117">
        <v>361.68471558198701</v>
      </c>
      <c r="C117">
        <v>0.91427211299200595</v>
      </c>
      <c r="D117">
        <v>0.70912149709706496</v>
      </c>
      <c r="E117">
        <f t="shared" si="2"/>
        <v>330.67824915205597</v>
      </c>
      <c r="F117">
        <f t="shared" si="3"/>
        <v>256.47840699062476</v>
      </c>
    </row>
    <row r="118" spans="1:6" x14ac:dyDescent="0.2">
      <c r="A118">
        <v>18</v>
      </c>
      <c r="B118">
        <v>309.094492056185</v>
      </c>
      <c r="C118">
        <v>0.90203132493410199</v>
      </c>
      <c r="D118">
        <v>0.75685347192793695</v>
      </c>
      <c r="E118">
        <f t="shared" si="2"/>
        <v>278.81291419927385</v>
      </c>
      <c r="F118">
        <f t="shared" si="3"/>
        <v>233.93923946652575</v>
      </c>
    </row>
    <row r="119" spans="1:6" x14ac:dyDescent="0.2">
      <c r="A119">
        <v>18</v>
      </c>
      <c r="B119">
        <v>367.00274257649397</v>
      </c>
      <c r="C119">
        <v>0.88524786277662104</v>
      </c>
      <c r="D119">
        <v>0.736389233149775</v>
      </c>
      <c r="E119">
        <f t="shared" si="2"/>
        <v>324.88839349899973</v>
      </c>
      <c r="F119">
        <f t="shared" si="3"/>
        <v>270.25686816976867</v>
      </c>
    </row>
    <row r="120" spans="1:6" x14ac:dyDescent="0.2">
      <c r="A120">
        <v>18</v>
      </c>
      <c r="B120">
        <v>352.08025097152102</v>
      </c>
      <c r="C120">
        <v>0.92657177194943496</v>
      </c>
      <c r="D120">
        <v>0.78361252546331595</v>
      </c>
      <c r="E120">
        <f t="shared" si="2"/>
        <v>326.22762201108401</v>
      </c>
      <c r="F120">
        <f t="shared" si="3"/>
        <v>275.89449462955167</v>
      </c>
    </row>
    <row r="121" spans="1:6" x14ac:dyDescent="0.2">
      <c r="A121">
        <v>18</v>
      </c>
      <c r="B121">
        <v>380.54135538976101</v>
      </c>
      <c r="C121">
        <v>0.83658224109951396</v>
      </c>
      <c r="D121">
        <v>0.69553873239268005</v>
      </c>
      <c r="E121">
        <f t="shared" si="2"/>
        <v>318.35413992301289</v>
      </c>
      <c r="F121">
        <f t="shared" si="3"/>
        <v>264.68125195078676</v>
      </c>
    </row>
    <row r="122" spans="1:6" x14ac:dyDescent="0.2">
      <c r="A122">
        <v>18</v>
      </c>
      <c r="B122">
        <v>389.49568318787198</v>
      </c>
      <c r="C122">
        <v>0.91103003241778602</v>
      </c>
      <c r="D122">
        <v>0.73970518197734902</v>
      </c>
      <c r="E122">
        <f t="shared" si="2"/>
        <v>354.84226488123471</v>
      </c>
      <c r="F122">
        <f t="shared" si="3"/>
        <v>288.11197521187671</v>
      </c>
    </row>
    <row r="123" spans="1:6" x14ac:dyDescent="0.2">
      <c r="A123">
        <v>18</v>
      </c>
      <c r="B123">
        <v>358.94821285956499</v>
      </c>
      <c r="C123">
        <v>0.90064238582089695</v>
      </c>
      <c r="D123">
        <v>0.81857337294117705</v>
      </c>
      <c r="E123">
        <f t="shared" si="2"/>
        <v>323.2839748159858</v>
      </c>
      <c r="F123">
        <f t="shared" si="3"/>
        <v>293.82544931166171</v>
      </c>
    </row>
    <row r="124" spans="1:6" x14ac:dyDescent="0.2">
      <c r="A124">
        <v>18</v>
      </c>
      <c r="B124">
        <v>342.21136039167101</v>
      </c>
      <c r="C124">
        <v>0.94241280992779797</v>
      </c>
      <c r="D124">
        <v>0.70117436861475402</v>
      </c>
      <c r="E124">
        <f t="shared" si="2"/>
        <v>322.504369735929</v>
      </c>
      <c r="F124">
        <f t="shared" si="3"/>
        <v>239.94983455542595</v>
      </c>
    </row>
    <row r="125" spans="1:6" x14ac:dyDescent="0.2">
      <c r="A125">
        <v>18</v>
      </c>
      <c r="B125">
        <v>361.75881033900203</v>
      </c>
      <c r="C125">
        <v>0.879017727628298</v>
      </c>
      <c r="D125">
        <v>0.69783237023473799</v>
      </c>
      <c r="E125">
        <f t="shared" si="2"/>
        <v>317.99240741370602</v>
      </c>
      <c r="F125">
        <f t="shared" si="3"/>
        <v>252.44700807216483</v>
      </c>
    </row>
    <row r="126" spans="1:6" x14ac:dyDescent="0.2">
      <c r="A126">
        <v>18</v>
      </c>
      <c r="B126">
        <v>320.26137462251802</v>
      </c>
      <c r="C126">
        <v>0.92172999519148802</v>
      </c>
      <c r="D126">
        <v>0.75720095024897305</v>
      </c>
      <c r="E126">
        <f t="shared" si="2"/>
        <v>295.1945152908329</v>
      </c>
      <c r="F126">
        <f t="shared" si="3"/>
        <v>242.50221719221298</v>
      </c>
    </row>
    <row r="127" spans="1:6" x14ac:dyDescent="0.2">
      <c r="A127">
        <v>18</v>
      </c>
      <c r="B127">
        <v>347.60237427825598</v>
      </c>
      <c r="C127">
        <v>0.88259966816306101</v>
      </c>
      <c r="D127">
        <v>0.73281592096739401</v>
      </c>
      <c r="E127">
        <f t="shared" si="2"/>
        <v>306.79374019068086</v>
      </c>
      <c r="F127">
        <f t="shared" si="3"/>
        <v>254.72855403717296</v>
      </c>
    </row>
    <row r="128" spans="1:6" x14ac:dyDescent="0.2">
      <c r="A128">
        <v>18</v>
      </c>
      <c r="B128">
        <v>358.320870523152</v>
      </c>
      <c r="C128">
        <v>0.85914393093423802</v>
      </c>
      <c r="D128">
        <v>0.70702688004915604</v>
      </c>
      <c r="E128">
        <f t="shared" si="2"/>
        <v>307.84920123703893</v>
      </c>
      <c r="F128">
        <f t="shared" si="3"/>
        <v>253.34248714248176</v>
      </c>
    </row>
    <row r="129" spans="1:6" x14ac:dyDescent="0.2">
      <c r="A129">
        <v>18</v>
      </c>
      <c r="B129">
        <v>350.11159113710602</v>
      </c>
      <c r="C129">
        <v>0.89131408292059999</v>
      </c>
      <c r="D129">
        <v>0.76545500081768303</v>
      </c>
      <c r="E129">
        <f t="shared" si="2"/>
        <v>312.0593917742417</v>
      </c>
      <c r="F129">
        <f t="shared" si="3"/>
        <v>267.99466828013379</v>
      </c>
    </row>
    <row r="130" spans="1:6" x14ac:dyDescent="0.2">
      <c r="A130">
        <v>18</v>
      </c>
      <c r="B130">
        <v>318.64189218955403</v>
      </c>
      <c r="C130">
        <v>0.91336292227110905</v>
      </c>
      <c r="D130">
        <v>0.81202540734819095</v>
      </c>
      <c r="E130">
        <f t="shared" si="2"/>
        <v>291.03568980824673</v>
      </c>
      <c r="F130">
        <f t="shared" si="3"/>
        <v>258.74531230342097</v>
      </c>
    </row>
    <row r="131" spans="1:6" x14ac:dyDescent="0.2">
      <c r="A131">
        <v>18</v>
      </c>
      <c r="B131">
        <v>383.15831314422502</v>
      </c>
      <c r="C131">
        <v>0.91682837685738305</v>
      </c>
      <c r="D131">
        <v>0.71547297062209603</v>
      </c>
      <c r="E131">
        <f t="shared" si="2"/>
        <v>351.29041431943273</v>
      </c>
      <c r="F131">
        <f t="shared" si="3"/>
        <v>274.13941652385</v>
      </c>
    </row>
    <row r="132" spans="1:6" x14ac:dyDescent="0.2">
      <c r="A132">
        <v>18</v>
      </c>
      <c r="B132">
        <v>371.53403009671803</v>
      </c>
      <c r="C132">
        <v>0.90485261718143395</v>
      </c>
      <c r="D132">
        <v>0.73623648035266798</v>
      </c>
      <c r="E132">
        <f t="shared" si="2"/>
        <v>336.18353950498096</v>
      </c>
      <c r="F132">
        <f t="shared" si="3"/>
        <v>273.53690664964989</v>
      </c>
    </row>
    <row r="133" spans="1:6" x14ac:dyDescent="0.2">
      <c r="A133">
        <v>18</v>
      </c>
      <c r="B133">
        <v>346.332429167199</v>
      </c>
      <c r="C133">
        <v>0.926654588810088</v>
      </c>
      <c r="D133">
        <v>0.78452625032238898</v>
      </c>
      <c r="E133">
        <f t="shared" si="2"/>
        <v>320.9305347415297</v>
      </c>
      <c r="F133">
        <f t="shared" si="3"/>
        <v>271.706882019587</v>
      </c>
    </row>
    <row r="134" spans="1:6" x14ac:dyDescent="0.2">
      <c r="A134">
        <v>18</v>
      </c>
      <c r="B134">
        <v>373.85570535733098</v>
      </c>
      <c r="C134">
        <v>0.90217175455846499</v>
      </c>
      <c r="D134">
        <v>0.71246790530775495</v>
      </c>
      <c r="E134">
        <f t="shared" ref="E134:E150" si="4">C134*B134</f>
        <v>337.28205765391579</v>
      </c>
      <c r="F134">
        <f t="shared" ref="F134:F150" si="5">D134*B134</f>
        <v>266.36019128329082</v>
      </c>
    </row>
    <row r="135" spans="1:6" x14ac:dyDescent="0.2">
      <c r="A135">
        <v>21</v>
      </c>
      <c r="B135">
        <v>298.29288848119597</v>
      </c>
      <c r="C135">
        <v>0.87019391269902202</v>
      </c>
      <c r="D135">
        <v>0.87019391269902202</v>
      </c>
      <c r="E135">
        <f t="shared" si="4"/>
        <v>259.57265575774494</v>
      </c>
      <c r="F135">
        <f t="shared" si="5"/>
        <v>259.57265575774494</v>
      </c>
    </row>
    <row r="136" spans="1:6" x14ac:dyDescent="0.2">
      <c r="A136">
        <v>21</v>
      </c>
      <c r="B136">
        <v>306.592838584665</v>
      </c>
      <c r="C136">
        <v>0.871581761702791</v>
      </c>
      <c r="D136">
        <v>0.84295475120343699</v>
      </c>
      <c r="E136">
        <f t="shared" si="4"/>
        <v>267.22072637908178</v>
      </c>
      <c r="F136">
        <f t="shared" si="5"/>
        <v>258.44388996989181</v>
      </c>
    </row>
    <row r="137" spans="1:6" x14ac:dyDescent="0.2">
      <c r="A137">
        <v>21</v>
      </c>
      <c r="B137">
        <v>352.157064774361</v>
      </c>
      <c r="C137">
        <v>0.88565944491400495</v>
      </c>
      <c r="D137">
        <v>0.82110308734061499</v>
      </c>
      <c r="E137">
        <f t="shared" si="4"/>
        <v>311.89123051060585</v>
      </c>
      <c r="F137">
        <f t="shared" si="5"/>
        <v>289.15725311503678</v>
      </c>
    </row>
    <row r="138" spans="1:6" x14ac:dyDescent="0.2">
      <c r="A138">
        <v>21</v>
      </c>
      <c r="B138">
        <v>334.80367880715301</v>
      </c>
      <c r="C138">
        <v>0.90148857764490498</v>
      </c>
      <c r="D138">
        <v>0.83635085449409496</v>
      </c>
      <c r="E138">
        <f t="shared" si="4"/>
        <v>301.82169219814199</v>
      </c>
      <c r="F138">
        <f t="shared" si="5"/>
        <v>280.01334285812891</v>
      </c>
    </row>
    <row r="139" spans="1:6" x14ac:dyDescent="0.2">
      <c r="A139">
        <v>21</v>
      </c>
      <c r="B139">
        <v>344.60858190939598</v>
      </c>
      <c r="C139">
        <v>0.83954714202501501</v>
      </c>
      <c r="D139">
        <v>0.77816286845440696</v>
      </c>
      <c r="E139">
        <f t="shared" si="4"/>
        <v>289.3151500593267</v>
      </c>
      <c r="F139">
        <f t="shared" si="5"/>
        <v>268.16160259262102</v>
      </c>
    </row>
    <row r="140" spans="1:6" x14ac:dyDescent="0.2">
      <c r="A140">
        <v>21</v>
      </c>
      <c r="B140">
        <v>350.38117456083899</v>
      </c>
      <c r="C140">
        <v>0.89682453400436601</v>
      </c>
      <c r="D140">
        <v>0.74905655266649895</v>
      </c>
      <c r="E140">
        <f t="shared" si="4"/>
        <v>314.23043359942687</v>
      </c>
      <c r="F140">
        <f t="shared" si="5"/>
        <v>262.45531473578086</v>
      </c>
    </row>
    <row r="141" spans="1:6" x14ac:dyDescent="0.2">
      <c r="A141">
        <v>21</v>
      </c>
      <c r="B141">
        <v>307.52894586463202</v>
      </c>
      <c r="C141">
        <v>0.86445022824600304</v>
      </c>
      <c r="D141">
        <v>0.85084862558989005</v>
      </c>
      <c r="E141">
        <f t="shared" si="4"/>
        <v>265.84346744493388</v>
      </c>
      <c r="F141">
        <f t="shared" si="5"/>
        <v>261.66058091802984</v>
      </c>
    </row>
    <row r="142" spans="1:6" x14ac:dyDescent="0.2">
      <c r="A142">
        <v>21</v>
      </c>
      <c r="B142">
        <v>312.66322068142199</v>
      </c>
      <c r="C142">
        <v>0.91222325608385602</v>
      </c>
      <c r="D142">
        <v>0.81458234498814597</v>
      </c>
      <c r="E142">
        <f t="shared" si="4"/>
        <v>285.21866122767199</v>
      </c>
      <c r="F142">
        <f t="shared" si="5"/>
        <v>254.68993949421889</v>
      </c>
    </row>
    <row r="143" spans="1:6" x14ac:dyDescent="0.2">
      <c r="A143">
        <v>21</v>
      </c>
      <c r="B143">
        <v>284.13479181967699</v>
      </c>
      <c r="C143">
        <v>0.86360045315588796</v>
      </c>
      <c r="D143">
        <v>0.82063037162867503</v>
      </c>
      <c r="E143">
        <f t="shared" si="4"/>
        <v>245.37893497282693</v>
      </c>
      <c r="F143">
        <f t="shared" si="5"/>
        <v>233.16963980361774</v>
      </c>
    </row>
    <row r="144" spans="1:6" x14ac:dyDescent="0.2">
      <c r="A144">
        <v>21</v>
      </c>
      <c r="B144">
        <v>317.88707460978702</v>
      </c>
      <c r="C144">
        <v>0.927043138973631</v>
      </c>
      <c r="D144">
        <v>0.84043087912310999</v>
      </c>
      <c r="E144">
        <f t="shared" si="4"/>
        <v>294.69503148540178</v>
      </c>
      <c r="F144">
        <f t="shared" si="5"/>
        <v>267.16211357617698</v>
      </c>
    </row>
    <row r="145" spans="1:6" x14ac:dyDescent="0.2">
      <c r="A145">
        <v>21</v>
      </c>
      <c r="B145">
        <v>295.22550661759601</v>
      </c>
      <c r="C145">
        <v>0.863638502211452</v>
      </c>
      <c r="D145">
        <v>0.80800910430998696</v>
      </c>
      <c r="E145">
        <f t="shared" si="4"/>
        <v>254.96811434983772</v>
      </c>
      <c r="F145">
        <f t="shared" si="5"/>
        <v>238.54489717154587</v>
      </c>
    </row>
    <row r="146" spans="1:6" x14ac:dyDescent="0.2">
      <c r="A146">
        <v>21</v>
      </c>
      <c r="B146">
        <v>349.81790218987402</v>
      </c>
      <c r="C146">
        <v>0.89806405290105396</v>
      </c>
      <c r="D146">
        <v>0.77142441242043802</v>
      </c>
      <c r="E146">
        <f t="shared" si="4"/>
        <v>314.15888301798276</v>
      </c>
      <c r="F146">
        <f t="shared" si="5"/>
        <v>269.85806965097385</v>
      </c>
    </row>
    <row r="147" spans="1:6" x14ac:dyDescent="0.2">
      <c r="A147">
        <v>21</v>
      </c>
      <c r="B147">
        <v>334.273741486451</v>
      </c>
      <c r="C147">
        <v>0.87845385627504602</v>
      </c>
      <c r="D147">
        <v>0.84400225119017702</v>
      </c>
      <c r="E147">
        <f t="shared" si="4"/>
        <v>293.64405726026069</v>
      </c>
      <c r="F147">
        <f t="shared" si="5"/>
        <v>282.12779032832793</v>
      </c>
    </row>
    <row r="148" spans="1:6" x14ac:dyDescent="0.2">
      <c r="A148">
        <v>21</v>
      </c>
      <c r="B148">
        <v>372.69700543618097</v>
      </c>
      <c r="C148">
        <v>0.920260578307179</v>
      </c>
      <c r="D148">
        <v>0.79120256196114402</v>
      </c>
      <c r="E148">
        <f t="shared" si="4"/>
        <v>342.97836175605374</v>
      </c>
      <c r="F148">
        <f t="shared" si="5"/>
        <v>294.87882553635279</v>
      </c>
    </row>
    <row r="149" spans="1:6" x14ac:dyDescent="0.2">
      <c r="A149">
        <v>21</v>
      </c>
      <c r="B149">
        <v>348.32174292514202</v>
      </c>
      <c r="C149">
        <v>0.86078587574342003</v>
      </c>
      <c r="D149">
        <v>0.79992754469935501</v>
      </c>
      <c r="E149">
        <f t="shared" si="4"/>
        <v>299.83043652429279</v>
      </c>
      <c r="F149">
        <f t="shared" si="5"/>
        <v>278.63215658350879</v>
      </c>
    </row>
    <row r="150" spans="1:6" x14ac:dyDescent="0.2">
      <c r="A150">
        <v>21</v>
      </c>
      <c r="B150">
        <v>354.26430576975298</v>
      </c>
      <c r="C150">
        <v>0.91771571981038103</v>
      </c>
      <c r="D150">
        <v>0.80163866968161301</v>
      </c>
      <c r="E150">
        <f t="shared" si="4"/>
        <v>325.11392237261379</v>
      </c>
      <c r="F150">
        <f t="shared" si="5"/>
        <v>283.99196679294494</v>
      </c>
    </row>
  </sheetData>
  <sortState xmlns:xlrd2="http://schemas.microsoft.com/office/spreadsheetml/2017/richdata2" ref="A5:D150">
    <sortCondition ref="A15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9C3F-11B9-CC44-AED5-056537AEDF35}">
  <dimension ref="A1:K163"/>
  <sheetViews>
    <sheetView workbookViewId="0">
      <selection activeCell="I5" sqref="I5:K14"/>
    </sheetView>
  </sheetViews>
  <sheetFormatPr baseColWidth="10" defaultRowHeight="16" x14ac:dyDescent="0.2"/>
  <cols>
    <col min="5" max="6" width="14.1640625" bestFit="1" customWidth="1"/>
    <col min="9" max="9" width="13.33203125" bestFit="1" customWidth="1"/>
    <col min="10" max="11" width="21" bestFit="1" customWidth="1"/>
  </cols>
  <sheetData>
    <row r="1" spans="1:11" x14ac:dyDescent="0.2">
      <c r="A1" t="s">
        <v>4</v>
      </c>
      <c r="B1" t="s">
        <v>5</v>
      </c>
    </row>
    <row r="2" spans="1:11" x14ac:dyDescent="0.2">
      <c r="A2" t="s">
        <v>6</v>
      </c>
      <c r="B2" t="s">
        <v>8</v>
      </c>
    </row>
    <row r="4" spans="1:11" x14ac:dyDescent="0.2">
      <c r="A4" t="s">
        <v>0</v>
      </c>
      <c r="B4" t="s">
        <v>1</v>
      </c>
      <c r="C4" t="s">
        <v>2</v>
      </c>
      <c r="D4" t="s">
        <v>3</v>
      </c>
      <c r="E4" t="s">
        <v>12</v>
      </c>
      <c r="F4" t="s">
        <v>11</v>
      </c>
      <c r="H4" t="s">
        <v>0</v>
      </c>
      <c r="I4" t="s">
        <v>13</v>
      </c>
      <c r="J4" t="s">
        <v>16</v>
      </c>
      <c r="K4" t="s">
        <v>15</v>
      </c>
    </row>
    <row r="5" spans="1:11" x14ac:dyDescent="0.2">
      <c r="A5">
        <v>3</v>
      </c>
      <c r="B5">
        <v>190.34561640816301</v>
      </c>
      <c r="C5">
        <v>0</v>
      </c>
      <c r="D5">
        <v>0</v>
      </c>
      <c r="E5">
        <f>C5*B5</f>
        <v>0</v>
      </c>
      <c r="F5">
        <f>D5*B5</f>
        <v>0</v>
      </c>
      <c r="H5">
        <v>3</v>
      </c>
      <c r="I5">
        <f>AVERAGE(B5:B13)</f>
        <v>182.48780870655335</v>
      </c>
      <c r="J5">
        <f>AVERAGE(E5:E13)</f>
        <v>4.908799549325308</v>
      </c>
      <c r="K5">
        <f>AVERAGE(F5:F13)</f>
        <v>0</v>
      </c>
    </row>
    <row r="6" spans="1:11" x14ac:dyDescent="0.2">
      <c r="A6">
        <v>3</v>
      </c>
      <c r="B6">
        <v>187.50049492234399</v>
      </c>
      <c r="C6">
        <v>0</v>
      </c>
      <c r="D6">
        <v>0</v>
      </c>
      <c r="E6">
        <f t="shared" ref="E6:E69" si="0">C6*B6</f>
        <v>0</v>
      </c>
      <c r="F6">
        <f t="shared" ref="F6:F69" si="1">D6*B6</f>
        <v>0</v>
      </c>
      <c r="H6">
        <v>4</v>
      </c>
      <c r="I6">
        <f>AVERAGE(B14:B22)</f>
        <v>217.34103642158297</v>
      </c>
      <c r="J6">
        <f>AVERAGE(E14:E22)</f>
        <v>4.3887751785062115</v>
      </c>
      <c r="K6">
        <f>AVERAGE(F14:F22)</f>
        <v>0</v>
      </c>
    </row>
    <row r="7" spans="1:11" x14ac:dyDescent="0.2">
      <c r="A7">
        <v>3</v>
      </c>
      <c r="B7">
        <v>184.99871285275</v>
      </c>
      <c r="C7">
        <v>0</v>
      </c>
      <c r="D7">
        <v>0</v>
      </c>
      <c r="E7">
        <f t="shared" si="0"/>
        <v>0</v>
      </c>
      <c r="F7">
        <f t="shared" si="1"/>
        <v>0</v>
      </c>
      <c r="H7">
        <v>5</v>
      </c>
      <c r="I7">
        <f>AVERAGE(B23:B32)</f>
        <v>216.2950448381886</v>
      </c>
      <c r="J7">
        <f>AVERAGE(E23:E32)</f>
        <v>82.667079518318744</v>
      </c>
      <c r="K7">
        <f>AVERAGE(F23:F32)</f>
        <v>0</v>
      </c>
    </row>
    <row r="8" spans="1:11" x14ac:dyDescent="0.2">
      <c r="A8">
        <v>3</v>
      </c>
      <c r="B8">
        <v>178.10638837108601</v>
      </c>
      <c r="C8">
        <v>0</v>
      </c>
      <c r="D8">
        <v>0</v>
      </c>
      <c r="E8">
        <f t="shared" si="0"/>
        <v>0</v>
      </c>
      <c r="F8">
        <f t="shared" si="1"/>
        <v>0</v>
      </c>
      <c r="H8">
        <v>7</v>
      </c>
      <c r="I8">
        <f>AVERAGE(B33:B47)</f>
        <v>254.60623867498438</v>
      </c>
      <c r="J8">
        <f>AVERAGE(E33:E47)</f>
        <v>175.1958128990978</v>
      </c>
      <c r="K8">
        <f>AVERAGE(F33:F47)</f>
        <v>54.619573194383527</v>
      </c>
    </row>
    <row r="9" spans="1:11" x14ac:dyDescent="0.2">
      <c r="A9">
        <v>3</v>
      </c>
      <c r="B9">
        <v>181.16838616382299</v>
      </c>
      <c r="C9">
        <v>0</v>
      </c>
      <c r="D9">
        <v>0</v>
      </c>
      <c r="E9">
        <f t="shared" si="0"/>
        <v>0</v>
      </c>
      <c r="F9">
        <f t="shared" si="1"/>
        <v>0</v>
      </c>
      <c r="H9">
        <v>10</v>
      </c>
      <c r="I9">
        <f>AVERAGE(B48:B60)</f>
        <v>301.04124568687735</v>
      </c>
      <c r="J9">
        <f>AVERAGE(E48:E60)</f>
        <v>247.87799302581701</v>
      </c>
      <c r="K9">
        <f>AVERAGE(F48:F60)</f>
        <v>131.87806748226649</v>
      </c>
    </row>
    <row r="10" spans="1:11" x14ac:dyDescent="0.2">
      <c r="A10">
        <v>3</v>
      </c>
      <c r="B10">
        <v>166.09941721577499</v>
      </c>
      <c r="C10">
        <v>0</v>
      </c>
      <c r="D10">
        <v>0</v>
      </c>
      <c r="E10">
        <f t="shared" si="0"/>
        <v>0</v>
      </c>
      <c r="F10">
        <f t="shared" si="1"/>
        <v>0</v>
      </c>
      <c r="H10">
        <v>12</v>
      </c>
      <c r="I10">
        <f>AVERAGE(B61:B77)</f>
        <v>308.0041055919196</v>
      </c>
      <c r="J10">
        <f>AVERAGE(E61:E77)</f>
        <v>257.20236631799531</v>
      </c>
      <c r="K10">
        <f>AVERAGE(F61:F77)</f>
        <v>164.57050787965136</v>
      </c>
    </row>
    <row r="11" spans="1:11" x14ac:dyDescent="0.2">
      <c r="A11">
        <v>3</v>
      </c>
      <c r="B11">
        <v>177.82038226449501</v>
      </c>
      <c r="C11">
        <v>0</v>
      </c>
      <c r="D11">
        <v>0</v>
      </c>
      <c r="E11">
        <f t="shared" si="0"/>
        <v>0</v>
      </c>
      <c r="F11">
        <f t="shared" si="1"/>
        <v>0</v>
      </c>
      <c r="H11">
        <v>14</v>
      </c>
      <c r="I11">
        <f>AVERAGE(B78:B91)</f>
        <v>326.03795952983813</v>
      </c>
      <c r="J11">
        <f>AVERAGE(E78:E91)</f>
        <v>285.14853672201974</v>
      </c>
      <c r="K11">
        <f>AVERAGE(F78:F91)</f>
        <v>196.58833428241957</v>
      </c>
    </row>
    <row r="12" spans="1:11" x14ac:dyDescent="0.2">
      <c r="A12">
        <v>3</v>
      </c>
      <c r="B12">
        <v>189.46775682110999</v>
      </c>
      <c r="C12">
        <v>0.23317527311858399</v>
      </c>
      <c r="D12">
        <v>0</v>
      </c>
      <c r="E12">
        <f t="shared" si="0"/>
        <v>44.179195943927773</v>
      </c>
      <c r="F12">
        <f t="shared" si="1"/>
        <v>0</v>
      </c>
      <c r="H12">
        <v>16</v>
      </c>
      <c r="I12">
        <f>AVERAGE(B92:B112)</f>
        <v>346.82434602587847</v>
      </c>
      <c r="J12">
        <f>AVERAGE(E92:E112)</f>
        <v>308.19241760315072</v>
      </c>
      <c r="K12">
        <f>AVERAGE(F93:F112)</f>
        <v>225.54133678890156</v>
      </c>
    </row>
    <row r="13" spans="1:11" x14ac:dyDescent="0.2">
      <c r="A13">
        <v>3</v>
      </c>
      <c r="B13">
        <v>186.88312333943401</v>
      </c>
      <c r="C13">
        <v>0</v>
      </c>
      <c r="D13">
        <v>0</v>
      </c>
      <c r="E13">
        <f t="shared" si="0"/>
        <v>0</v>
      </c>
      <c r="F13">
        <f t="shared" si="1"/>
        <v>0</v>
      </c>
      <c r="H13">
        <v>18</v>
      </c>
      <c r="I13">
        <f>AVERAGE(B113:B132)</f>
        <v>352.6376630067009</v>
      </c>
      <c r="J13">
        <f>AVERAGE(E113:E132)</f>
        <v>315.77918391838273</v>
      </c>
      <c r="K13">
        <f>AVERAGE(F113:F132)</f>
        <v>252.63642095743603</v>
      </c>
    </row>
    <row r="14" spans="1:11" x14ac:dyDescent="0.2">
      <c r="A14">
        <v>4</v>
      </c>
      <c r="B14">
        <v>209.97268346709001</v>
      </c>
      <c r="C14">
        <v>0.18811483453154401</v>
      </c>
      <c r="D14">
        <v>0</v>
      </c>
      <c r="E14">
        <f t="shared" si="0"/>
        <v>39.498976606555907</v>
      </c>
      <c r="F14">
        <f t="shared" si="1"/>
        <v>0</v>
      </c>
      <c r="H14">
        <v>21</v>
      </c>
      <c r="I14">
        <f>AVERAGEIF(A5:A163, 21, B5:B163)</f>
        <v>341.70620237278729</v>
      </c>
      <c r="J14">
        <f>AVERAGEIF(A5:A163, 21, E5:E163)</f>
        <v>310.43808936408607</v>
      </c>
      <c r="K14">
        <f>AVERAGEIF(A5:A163, 21, F5:F163)</f>
        <v>272.15822288207966</v>
      </c>
    </row>
    <row r="15" spans="1:11" x14ac:dyDescent="0.2">
      <c r="A15">
        <v>4</v>
      </c>
      <c r="B15">
        <v>220.44306581346001</v>
      </c>
      <c r="C15">
        <v>0</v>
      </c>
      <c r="D15">
        <v>0</v>
      </c>
      <c r="E15">
        <f t="shared" si="0"/>
        <v>0</v>
      </c>
      <c r="F15">
        <f t="shared" si="1"/>
        <v>0</v>
      </c>
    </row>
    <row r="16" spans="1:11" x14ac:dyDescent="0.2">
      <c r="A16">
        <v>4</v>
      </c>
      <c r="B16">
        <v>224.69202987724299</v>
      </c>
      <c r="C16">
        <v>0</v>
      </c>
      <c r="D16">
        <v>0</v>
      </c>
      <c r="E16">
        <f t="shared" si="0"/>
        <v>0</v>
      </c>
      <c r="F16">
        <f t="shared" si="1"/>
        <v>0</v>
      </c>
    </row>
    <row r="17" spans="1:6" x14ac:dyDescent="0.2">
      <c r="A17">
        <v>4</v>
      </c>
      <c r="B17">
        <v>202.67316472642801</v>
      </c>
      <c r="C17">
        <v>0</v>
      </c>
      <c r="D17">
        <v>0</v>
      </c>
      <c r="E17">
        <f t="shared" si="0"/>
        <v>0</v>
      </c>
      <c r="F17">
        <f t="shared" si="1"/>
        <v>0</v>
      </c>
    </row>
    <row r="18" spans="1:6" x14ac:dyDescent="0.2">
      <c r="A18">
        <v>4</v>
      </c>
      <c r="B18">
        <v>205.33807280030399</v>
      </c>
      <c r="C18">
        <v>0</v>
      </c>
      <c r="D18">
        <v>0</v>
      </c>
      <c r="E18">
        <f t="shared" si="0"/>
        <v>0</v>
      </c>
      <c r="F18">
        <f t="shared" si="1"/>
        <v>0</v>
      </c>
    </row>
    <row r="19" spans="1:6" x14ac:dyDescent="0.2">
      <c r="A19">
        <v>4</v>
      </c>
      <c r="B19">
        <v>227.17772830467001</v>
      </c>
      <c r="C19">
        <v>0</v>
      </c>
      <c r="D19">
        <v>0</v>
      </c>
      <c r="E19">
        <f t="shared" si="0"/>
        <v>0</v>
      </c>
      <c r="F19">
        <f t="shared" si="1"/>
        <v>0</v>
      </c>
    </row>
    <row r="20" spans="1:6" x14ac:dyDescent="0.2">
      <c r="A20">
        <v>4</v>
      </c>
      <c r="B20">
        <v>213.835552796455</v>
      </c>
      <c r="C20">
        <v>0</v>
      </c>
      <c r="D20">
        <v>0</v>
      </c>
      <c r="E20">
        <f t="shared" si="0"/>
        <v>0</v>
      </c>
      <c r="F20">
        <f t="shared" si="1"/>
        <v>0</v>
      </c>
    </row>
    <row r="21" spans="1:6" x14ac:dyDescent="0.2">
      <c r="A21">
        <v>4</v>
      </c>
      <c r="B21">
        <v>231.478348841258</v>
      </c>
      <c r="C21">
        <v>0</v>
      </c>
      <c r="D21">
        <v>0</v>
      </c>
      <c r="E21">
        <f t="shared" si="0"/>
        <v>0</v>
      </c>
      <c r="F21">
        <f t="shared" si="1"/>
        <v>0</v>
      </c>
    </row>
    <row r="22" spans="1:6" x14ac:dyDescent="0.2">
      <c r="A22">
        <v>4</v>
      </c>
      <c r="B22">
        <v>220.45868116733899</v>
      </c>
      <c r="C22">
        <v>0</v>
      </c>
      <c r="D22">
        <v>0</v>
      </c>
      <c r="E22">
        <f t="shared" si="0"/>
        <v>0</v>
      </c>
      <c r="F22">
        <f t="shared" si="1"/>
        <v>0</v>
      </c>
    </row>
    <row r="23" spans="1:6" x14ac:dyDescent="0.2">
      <c r="A23">
        <v>5</v>
      </c>
      <c r="B23">
        <v>210.018349176002</v>
      </c>
      <c r="C23">
        <v>0.24715026084994399</v>
      </c>
      <c r="D23">
        <v>0</v>
      </c>
      <c r="E23">
        <f t="shared" si="0"/>
        <v>51.906089782123516</v>
      </c>
      <c r="F23">
        <f t="shared" si="1"/>
        <v>0</v>
      </c>
    </row>
    <row r="24" spans="1:6" x14ac:dyDescent="0.2">
      <c r="A24">
        <v>5</v>
      </c>
      <c r="B24">
        <v>226.85495711695901</v>
      </c>
      <c r="C24">
        <v>0.35563983541504302</v>
      </c>
      <c r="D24">
        <v>0</v>
      </c>
      <c r="E24">
        <f t="shared" si="0"/>
        <v>80.678659612161951</v>
      </c>
      <c r="F24">
        <f t="shared" si="1"/>
        <v>0</v>
      </c>
    </row>
    <row r="25" spans="1:6" x14ac:dyDescent="0.2">
      <c r="A25">
        <v>5</v>
      </c>
      <c r="B25">
        <v>215.21442291568101</v>
      </c>
      <c r="C25">
        <v>0.15646037301534499</v>
      </c>
      <c r="D25">
        <v>0</v>
      </c>
      <c r="E25">
        <f t="shared" si="0"/>
        <v>33.672528887669664</v>
      </c>
      <c r="F25">
        <f t="shared" si="1"/>
        <v>0</v>
      </c>
    </row>
    <row r="26" spans="1:6" x14ac:dyDescent="0.2">
      <c r="A26">
        <v>5</v>
      </c>
      <c r="B26">
        <v>208.303165220144</v>
      </c>
      <c r="C26">
        <v>0.367725245666089</v>
      </c>
      <c r="D26">
        <v>0</v>
      </c>
      <c r="E26">
        <f t="shared" si="0"/>
        <v>76.598332603601378</v>
      </c>
      <c r="F26">
        <f t="shared" si="1"/>
        <v>0</v>
      </c>
    </row>
    <row r="27" spans="1:6" x14ac:dyDescent="0.2">
      <c r="A27">
        <v>5</v>
      </c>
      <c r="B27">
        <v>217.42187804032301</v>
      </c>
      <c r="C27">
        <v>0.38124867063680101</v>
      </c>
      <c r="D27">
        <v>0</v>
      </c>
      <c r="E27">
        <f t="shared" si="0"/>
        <v>82.891801970229821</v>
      </c>
      <c r="F27">
        <f t="shared" si="1"/>
        <v>0</v>
      </c>
    </row>
    <row r="28" spans="1:6" x14ac:dyDescent="0.2">
      <c r="A28">
        <v>5</v>
      </c>
      <c r="B28">
        <v>219.67543442028199</v>
      </c>
      <c r="C28">
        <v>0.675768949217878</v>
      </c>
      <c r="D28">
        <v>0</v>
      </c>
      <c r="E28">
        <f t="shared" si="0"/>
        <v>148.44983748717482</v>
      </c>
      <c r="F28">
        <f t="shared" si="1"/>
        <v>0</v>
      </c>
    </row>
    <row r="29" spans="1:6" x14ac:dyDescent="0.2">
      <c r="A29">
        <v>5</v>
      </c>
      <c r="B29">
        <v>219.313596174906</v>
      </c>
      <c r="C29">
        <v>0.41039003833488502</v>
      </c>
      <c r="D29">
        <v>0</v>
      </c>
      <c r="E29">
        <f t="shared" si="0"/>
        <v>90.004115141581167</v>
      </c>
      <c r="F29">
        <f t="shared" si="1"/>
        <v>0</v>
      </c>
    </row>
    <row r="30" spans="1:6" x14ac:dyDescent="0.2">
      <c r="A30">
        <v>5</v>
      </c>
      <c r="B30">
        <v>213.62962360935401</v>
      </c>
      <c r="C30">
        <v>0.34901122733954298</v>
      </c>
      <c r="D30">
        <v>0</v>
      </c>
      <c r="E30">
        <f t="shared" si="0"/>
        <v>74.559137131985253</v>
      </c>
      <c r="F30">
        <f t="shared" si="1"/>
        <v>0</v>
      </c>
    </row>
    <row r="31" spans="1:6" x14ac:dyDescent="0.2">
      <c r="A31">
        <v>5</v>
      </c>
      <c r="B31">
        <v>209.86843476629301</v>
      </c>
      <c r="C31">
        <v>0.445953695604692</v>
      </c>
      <c r="D31">
        <v>0</v>
      </c>
      <c r="E31">
        <f t="shared" si="0"/>
        <v>93.591604074800586</v>
      </c>
      <c r="F31">
        <f t="shared" si="1"/>
        <v>0</v>
      </c>
    </row>
    <row r="32" spans="1:6" x14ac:dyDescent="0.2">
      <c r="A32">
        <v>5</v>
      </c>
      <c r="B32">
        <v>222.65058694194201</v>
      </c>
      <c r="C32">
        <v>0.42361751562080402</v>
      </c>
      <c r="D32">
        <v>0</v>
      </c>
      <c r="E32">
        <f t="shared" si="0"/>
        <v>94.318688491859305</v>
      </c>
      <c r="F32">
        <f t="shared" si="1"/>
        <v>0</v>
      </c>
    </row>
    <row r="33" spans="1:6" x14ac:dyDescent="0.2">
      <c r="A33">
        <v>7</v>
      </c>
      <c r="B33">
        <v>254.60400112420101</v>
      </c>
      <c r="C33">
        <v>0.71821635339301504</v>
      </c>
      <c r="D33">
        <v>0.293902427219841</v>
      </c>
      <c r="E33">
        <f t="shared" si="0"/>
        <v>182.86075724669476</v>
      </c>
      <c r="F33">
        <f t="shared" si="1"/>
        <v>74.828733910285806</v>
      </c>
    </row>
    <row r="34" spans="1:6" x14ac:dyDescent="0.2">
      <c r="A34">
        <v>7</v>
      </c>
      <c r="B34">
        <v>249.25346939466101</v>
      </c>
      <c r="C34">
        <v>0.66607955035908195</v>
      </c>
      <c r="D34">
        <v>0.294165276418135</v>
      </c>
      <c r="E34">
        <f t="shared" si="0"/>
        <v>166.022638819837</v>
      </c>
      <c r="F34">
        <f t="shared" si="1"/>
        <v>73.321715722659604</v>
      </c>
    </row>
    <row r="35" spans="1:6" x14ac:dyDescent="0.2">
      <c r="A35">
        <v>7</v>
      </c>
      <c r="B35">
        <v>242.07699604268399</v>
      </c>
      <c r="C35">
        <v>0.791133906169598</v>
      </c>
      <c r="D35">
        <v>0.33419657780689799</v>
      </c>
      <c r="E35">
        <f t="shared" si="0"/>
        <v>191.51531947305091</v>
      </c>
      <c r="F35">
        <f t="shared" si="1"/>
        <v>80.901303643238975</v>
      </c>
    </row>
    <row r="36" spans="1:6" x14ac:dyDescent="0.2">
      <c r="A36">
        <v>7</v>
      </c>
      <c r="B36">
        <v>266.70061141228399</v>
      </c>
      <c r="C36">
        <v>0.78244518630877902</v>
      </c>
      <c r="D36">
        <v>0.21184323539386399</v>
      </c>
      <c r="E36">
        <f t="shared" si="0"/>
        <v>208.67860958514981</v>
      </c>
      <c r="F36">
        <f t="shared" si="1"/>
        <v>56.498720403099924</v>
      </c>
    </row>
    <row r="37" spans="1:6" x14ac:dyDescent="0.2">
      <c r="A37">
        <v>7</v>
      </c>
      <c r="B37">
        <v>216.058234357023</v>
      </c>
      <c r="C37">
        <v>0</v>
      </c>
      <c r="D37">
        <v>0</v>
      </c>
      <c r="E37">
        <f t="shared" si="0"/>
        <v>0</v>
      </c>
      <c r="F37">
        <f t="shared" si="1"/>
        <v>0</v>
      </c>
    </row>
    <row r="38" spans="1:6" x14ac:dyDescent="0.2">
      <c r="A38">
        <v>7</v>
      </c>
      <c r="B38">
        <v>262.05121181608399</v>
      </c>
      <c r="C38">
        <v>0.85479906972530695</v>
      </c>
      <c r="D38">
        <v>0.31018119897670499</v>
      </c>
      <c r="E38">
        <f t="shared" si="0"/>
        <v>224.00113208077795</v>
      </c>
      <c r="F38">
        <f t="shared" si="1"/>
        <v>81.283359074411408</v>
      </c>
    </row>
    <row r="39" spans="1:6" x14ac:dyDescent="0.2">
      <c r="A39">
        <v>7</v>
      </c>
      <c r="B39">
        <v>247.538965291723</v>
      </c>
      <c r="C39">
        <v>0.84567901621027997</v>
      </c>
      <c r="D39">
        <v>0.31734122297954398</v>
      </c>
      <c r="E39">
        <f t="shared" si="0"/>
        <v>209.33850864161494</v>
      </c>
      <c r="F39">
        <f t="shared" si="1"/>
        <v>78.554317980766271</v>
      </c>
    </row>
    <row r="40" spans="1:6" x14ac:dyDescent="0.2">
      <c r="A40">
        <v>7</v>
      </c>
      <c r="B40">
        <v>243.61299895175301</v>
      </c>
      <c r="C40">
        <v>0.74727431620174201</v>
      </c>
      <c r="D40">
        <v>0.30385327827194097</v>
      </c>
      <c r="E40">
        <f t="shared" si="0"/>
        <v>182.04573720952692</v>
      </c>
      <c r="F40">
        <f t="shared" si="1"/>
        <v>74.022608361149068</v>
      </c>
    </row>
    <row r="41" spans="1:6" x14ac:dyDescent="0.2">
      <c r="A41">
        <v>7</v>
      </c>
      <c r="B41">
        <v>249.169603303429</v>
      </c>
      <c r="C41">
        <v>0.74750852719447902</v>
      </c>
      <c r="D41">
        <v>0.28889913174000997</v>
      </c>
      <c r="E41">
        <f t="shared" si="0"/>
        <v>186.25640318697882</v>
      </c>
      <c r="F41">
        <f t="shared" si="1"/>
        <v>71.984882050363353</v>
      </c>
    </row>
    <row r="42" spans="1:6" x14ac:dyDescent="0.2">
      <c r="A42">
        <v>7</v>
      </c>
      <c r="B42">
        <v>262.49466040944998</v>
      </c>
      <c r="C42">
        <v>0.59632608302319801</v>
      </c>
      <c r="D42">
        <v>0</v>
      </c>
      <c r="E42">
        <f t="shared" si="0"/>
        <v>156.53241265647182</v>
      </c>
      <c r="F42">
        <f t="shared" si="1"/>
        <v>0</v>
      </c>
    </row>
    <row r="43" spans="1:6" x14ac:dyDescent="0.2">
      <c r="A43">
        <v>7</v>
      </c>
      <c r="B43">
        <v>264.12047511991199</v>
      </c>
      <c r="C43">
        <v>0.69731012673067105</v>
      </c>
      <c r="D43">
        <v>0.18458190976869199</v>
      </c>
      <c r="E43">
        <f t="shared" si="0"/>
        <v>184.17388197803089</v>
      </c>
      <c r="F43">
        <f t="shared" si="1"/>
        <v>48.751861706647652</v>
      </c>
    </row>
    <row r="44" spans="1:6" x14ac:dyDescent="0.2">
      <c r="A44">
        <v>7</v>
      </c>
      <c r="B44">
        <v>267.999255776702</v>
      </c>
      <c r="C44">
        <v>0.76134275716261002</v>
      </c>
      <c r="D44">
        <v>0.157370554012219</v>
      </c>
      <c r="E44">
        <f t="shared" si="0"/>
        <v>204.03929231056185</v>
      </c>
      <c r="F44">
        <f t="shared" si="1"/>
        <v>42.175191356441978</v>
      </c>
    </row>
    <row r="45" spans="1:6" x14ac:dyDescent="0.2">
      <c r="A45">
        <v>7</v>
      </c>
      <c r="B45">
        <v>249.727522165518</v>
      </c>
      <c r="C45">
        <v>0.48817769585702198</v>
      </c>
      <c r="D45">
        <v>0</v>
      </c>
      <c r="E45">
        <f t="shared" si="0"/>
        <v>121.91140636284595</v>
      </c>
      <c r="F45">
        <f t="shared" si="1"/>
        <v>0</v>
      </c>
    </row>
    <row r="46" spans="1:6" x14ac:dyDescent="0.2">
      <c r="A46">
        <v>7</v>
      </c>
      <c r="B46">
        <v>274.30081848653998</v>
      </c>
      <c r="C46">
        <v>0.73868794384058201</v>
      </c>
      <c r="D46">
        <v>0.26585748160280598</v>
      </c>
      <c r="E46">
        <f t="shared" si="0"/>
        <v>202.62270760161093</v>
      </c>
      <c r="F46">
        <f t="shared" si="1"/>
        <v>72.924924804419931</v>
      </c>
    </row>
    <row r="47" spans="1:6" x14ac:dyDescent="0.2">
      <c r="A47">
        <v>7</v>
      </c>
      <c r="B47">
        <v>269.384756472802</v>
      </c>
      <c r="C47">
        <v>0.77190108696558402</v>
      </c>
      <c r="D47">
        <v>0.23774908328465599</v>
      </c>
      <c r="E47">
        <f t="shared" si="0"/>
        <v>207.93838633331501</v>
      </c>
      <c r="F47">
        <f t="shared" si="1"/>
        <v>64.045978902268971</v>
      </c>
    </row>
    <row r="48" spans="1:6" x14ac:dyDescent="0.2">
      <c r="A48">
        <v>10</v>
      </c>
      <c r="B48">
        <v>281.64803273576001</v>
      </c>
      <c r="C48">
        <v>0.84001747054543496</v>
      </c>
      <c r="D48">
        <v>0.39548143710342898</v>
      </c>
      <c r="E48">
        <f t="shared" si="0"/>
        <v>236.58926804279099</v>
      </c>
      <c r="F48">
        <f t="shared" si="1"/>
        <v>111.38656874369198</v>
      </c>
    </row>
    <row r="49" spans="1:6" x14ac:dyDescent="0.2">
      <c r="A49">
        <v>10</v>
      </c>
      <c r="B49">
        <v>287.80628059148899</v>
      </c>
      <c r="C49">
        <v>0.84404951493142899</v>
      </c>
      <c r="D49">
        <v>0.45538826309070701</v>
      </c>
      <c r="E49">
        <f t="shared" si="0"/>
        <v>242.92275152746501</v>
      </c>
      <c r="F49">
        <f t="shared" si="1"/>
        <v>131.06360222515482</v>
      </c>
    </row>
    <row r="50" spans="1:6" x14ac:dyDescent="0.2">
      <c r="A50">
        <v>10</v>
      </c>
      <c r="B50">
        <v>294.21265447260998</v>
      </c>
      <c r="C50">
        <v>0.77731332665317299</v>
      </c>
      <c r="D50">
        <v>0.46455694534979702</v>
      </c>
      <c r="E50">
        <f t="shared" si="0"/>
        <v>228.69541719156501</v>
      </c>
      <c r="F50">
        <f t="shared" si="1"/>
        <v>136.67853204505099</v>
      </c>
    </row>
    <row r="51" spans="1:6" x14ac:dyDescent="0.2">
      <c r="A51">
        <v>10</v>
      </c>
      <c r="B51">
        <v>286.91209674363103</v>
      </c>
      <c r="C51">
        <v>0.885741984065198</v>
      </c>
      <c r="D51">
        <v>0.41745494192830201</v>
      </c>
      <c r="E51">
        <f t="shared" si="0"/>
        <v>254.13008982200978</v>
      </c>
      <c r="F51">
        <f t="shared" si="1"/>
        <v>119.77287268463986</v>
      </c>
    </row>
    <row r="52" spans="1:6" x14ac:dyDescent="0.2">
      <c r="A52">
        <v>10</v>
      </c>
      <c r="B52">
        <v>292.09729865033302</v>
      </c>
      <c r="C52">
        <v>0.87819898264747398</v>
      </c>
      <c r="D52">
        <v>0.50495538604977297</v>
      </c>
      <c r="E52">
        <f t="shared" si="0"/>
        <v>256.51955050879781</v>
      </c>
      <c r="F52">
        <f t="shared" si="1"/>
        <v>147.49610420407473</v>
      </c>
    </row>
    <row r="53" spans="1:6" x14ac:dyDescent="0.2">
      <c r="A53">
        <v>10</v>
      </c>
      <c r="B53">
        <v>291.29986889875801</v>
      </c>
      <c r="C53">
        <v>0.80173797699530502</v>
      </c>
      <c r="D53">
        <v>0.45075036444363697</v>
      </c>
      <c r="E53">
        <f t="shared" si="0"/>
        <v>233.54616758988783</v>
      </c>
      <c r="F53">
        <f t="shared" si="1"/>
        <v>131.30352206849884</v>
      </c>
    </row>
    <row r="54" spans="1:6" x14ac:dyDescent="0.2">
      <c r="A54">
        <v>10</v>
      </c>
      <c r="B54">
        <v>283.15955591809302</v>
      </c>
      <c r="C54">
        <v>0.76702710119305595</v>
      </c>
      <c r="D54">
        <v>0.46500303224408901</v>
      </c>
      <c r="E54">
        <f t="shared" si="0"/>
        <v>217.19105335096791</v>
      </c>
      <c r="F54">
        <f t="shared" si="1"/>
        <v>131.67005211080294</v>
      </c>
    </row>
    <row r="55" spans="1:6" x14ac:dyDescent="0.2">
      <c r="A55">
        <v>10</v>
      </c>
      <c r="B55">
        <v>310.39796716775498</v>
      </c>
      <c r="C55">
        <v>0.81790635404686096</v>
      </c>
      <c r="D55">
        <v>0.42871578026873702</v>
      </c>
      <c r="E55">
        <f t="shared" si="0"/>
        <v>253.87646962973574</v>
      </c>
      <c r="F55">
        <f t="shared" si="1"/>
        <v>133.07250668815391</v>
      </c>
    </row>
    <row r="56" spans="1:6" x14ac:dyDescent="0.2">
      <c r="A56">
        <v>10</v>
      </c>
      <c r="B56">
        <v>312.54680770465501</v>
      </c>
      <c r="C56">
        <v>0.81432603928910996</v>
      </c>
      <c r="D56">
        <v>0.41479007429422898</v>
      </c>
      <c r="E56">
        <f t="shared" si="0"/>
        <v>254.51500401058678</v>
      </c>
      <c r="F56">
        <f t="shared" si="1"/>
        <v>129.64131358823795</v>
      </c>
    </row>
    <row r="57" spans="1:6" x14ac:dyDescent="0.2">
      <c r="A57">
        <v>10</v>
      </c>
      <c r="B57">
        <v>321.41096614979398</v>
      </c>
      <c r="C57">
        <v>0.82661644660769196</v>
      </c>
      <c r="D57">
        <v>0.45138175584843798</v>
      </c>
      <c r="E57">
        <f t="shared" si="0"/>
        <v>265.68359073948784</v>
      </c>
      <c r="F57">
        <f t="shared" si="1"/>
        <v>145.07904624963686</v>
      </c>
    </row>
    <row r="58" spans="1:6" x14ac:dyDescent="0.2">
      <c r="A58">
        <v>10</v>
      </c>
      <c r="B58">
        <v>322.99601217160199</v>
      </c>
      <c r="C58">
        <v>0.84322261307652702</v>
      </c>
      <c r="D58">
        <v>0.45960808129410602</v>
      </c>
      <c r="E58">
        <f t="shared" si="0"/>
        <v>272.35754139663595</v>
      </c>
      <c r="F58">
        <f t="shared" si="1"/>
        <v>148.45157741983772</v>
      </c>
    </row>
    <row r="59" spans="1:6" x14ac:dyDescent="0.2">
      <c r="A59">
        <v>10</v>
      </c>
      <c r="B59">
        <v>322.409301749326</v>
      </c>
      <c r="C59">
        <v>0.82864932042853301</v>
      </c>
      <c r="D59">
        <v>0.37693578683594497</v>
      </c>
      <c r="E59">
        <f t="shared" si="0"/>
        <v>267.16424879441684</v>
      </c>
      <c r="F59">
        <f t="shared" si="1"/>
        <v>121.52760383810981</v>
      </c>
    </row>
    <row r="60" spans="1:6" x14ac:dyDescent="0.2">
      <c r="A60">
        <v>10</v>
      </c>
      <c r="B60">
        <v>306.6393509756</v>
      </c>
      <c r="C60">
        <v>0.78014369639827896</v>
      </c>
      <c r="D60">
        <v>0.41505297672542102</v>
      </c>
      <c r="E60">
        <f t="shared" si="0"/>
        <v>239.22275673127379</v>
      </c>
      <c r="F60">
        <f t="shared" si="1"/>
        <v>127.27157540357391</v>
      </c>
    </row>
    <row r="61" spans="1:6" x14ac:dyDescent="0.2">
      <c r="A61">
        <v>12</v>
      </c>
      <c r="B61">
        <v>310.50568319065201</v>
      </c>
      <c r="C61">
        <v>0.85712241262507805</v>
      </c>
      <c r="D61">
        <v>0.55610989092978502</v>
      </c>
      <c r="E61">
        <f t="shared" si="0"/>
        <v>266.14138031016978</v>
      </c>
      <c r="F61">
        <f t="shared" si="1"/>
        <v>172.67528161223186</v>
      </c>
    </row>
    <row r="62" spans="1:6" x14ac:dyDescent="0.2">
      <c r="A62">
        <v>12</v>
      </c>
      <c r="B62">
        <v>311.826915961118</v>
      </c>
      <c r="C62">
        <v>0.87212984650912195</v>
      </c>
      <c r="D62">
        <v>0.541418880206186</v>
      </c>
      <c r="E62">
        <f t="shared" si="0"/>
        <v>271.95356035458269</v>
      </c>
      <c r="F62">
        <f t="shared" si="1"/>
        <v>168.82897965781697</v>
      </c>
    </row>
    <row r="63" spans="1:6" x14ac:dyDescent="0.2">
      <c r="A63">
        <v>12</v>
      </c>
      <c r="B63">
        <v>317.91723984743402</v>
      </c>
      <c r="C63">
        <v>0.80891451579168405</v>
      </c>
      <c r="D63">
        <v>0.55553220012797699</v>
      </c>
      <c r="E63">
        <f t="shared" si="0"/>
        <v>257.16787013301575</v>
      </c>
      <c r="F63">
        <f t="shared" si="1"/>
        <v>176.61326371105878</v>
      </c>
    </row>
    <row r="64" spans="1:6" x14ac:dyDescent="0.2">
      <c r="A64">
        <v>12</v>
      </c>
      <c r="B64">
        <v>309.34577033093399</v>
      </c>
      <c r="C64">
        <v>0.87161474839624897</v>
      </c>
      <c r="D64">
        <v>0.55334522118181295</v>
      </c>
      <c r="E64">
        <f t="shared" si="0"/>
        <v>269.63033577444082</v>
      </c>
      <c r="F64">
        <f t="shared" si="1"/>
        <v>171.17500370542899</v>
      </c>
    </row>
    <row r="65" spans="1:6" x14ac:dyDescent="0.2">
      <c r="A65">
        <v>12</v>
      </c>
      <c r="B65">
        <v>319.17236097396398</v>
      </c>
      <c r="C65">
        <v>0.84205907480064301</v>
      </c>
      <c r="D65">
        <v>0.54639007973907106</v>
      </c>
      <c r="E65">
        <f t="shared" si="0"/>
        <v>268.76198298367297</v>
      </c>
      <c r="F65">
        <f t="shared" si="1"/>
        <v>174.39261176307176</v>
      </c>
    </row>
    <row r="66" spans="1:6" x14ac:dyDescent="0.2">
      <c r="A66">
        <v>12</v>
      </c>
      <c r="B66">
        <v>307.57931385292102</v>
      </c>
      <c r="C66">
        <v>0.804155420885727</v>
      </c>
      <c r="D66">
        <v>0.53867693426224705</v>
      </c>
      <c r="E66">
        <f t="shared" si="0"/>
        <v>247.34157258713881</v>
      </c>
      <c r="F66">
        <f t="shared" si="1"/>
        <v>165.68588182877699</v>
      </c>
    </row>
    <row r="67" spans="1:6" x14ac:dyDescent="0.2">
      <c r="A67">
        <v>12</v>
      </c>
      <c r="B67">
        <v>310.95436189944701</v>
      </c>
      <c r="C67">
        <v>0.81590072114047796</v>
      </c>
      <c r="D67">
        <v>0.55784325371705101</v>
      </c>
      <c r="E67">
        <f t="shared" si="0"/>
        <v>253.70788811553598</v>
      </c>
      <c r="F67">
        <f t="shared" si="1"/>
        <v>173.46379299949692</v>
      </c>
    </row>
    <row r="68" spans="1:6" x14ac:dyDescent="0.2">
      <c r="A68">
        <v>12</v>
      </c>
      <c r="B68">
        <v>310.61731992244103</v>
      </c>
      <c r="C68">
        <v>0.79304005727305904</v>
      </c>
      <c r="D68">
        <v>0.51471511468569597</v>
      </c>
      <c r="E68">
        <f t="shared" si="0"/>
        <v>246.33197718129674</v>
      </c>
      <c r="F68">
        <f t="shared" si="1"/>
        <v>159.87942944724276</v>
      </c>
    </row>
    <row r="69" spans="1:6" x14ac:dyDescent="0.2">
      <c r="A69">
        <v>12</v>
      </c>
      <c r="B69">
        <v>306.00360539248999</v>
      </c>
      <c r="C69">
        <v>0.84781188815527897</v>
      </c>
      <c r="D69">
        <v>0.52271180496220904</v>
      </c>
      <c r="E69">
        <f t="shared" si="0"/>
        <v>259.43349447012986</v>
      </c>
      <c r="F69">
        <f t="shared" si="1"/>
        <v>159.95169689965201</v>
      </c>
    </row>
    <row r="70" spans="1:6" x14ac:dyDescent="0.2">
      <c r="A70">
        <v>12</v>
      </c>
      <c r="B70">
        <v>293.08977641794502</v>
      </c>
      <c r="C70">
        <v>0.80913130503410102</v>
      </c>
      <c r="D70">
        <v>0.49924804772233899</v>
      </c>
      <c r="E70">
        <f t="shared" ref="E70:E133" si="2">C70*B70</f>
        <v>237.14811328520474</v>
      </c>
      <c r="F70">
        <f t="shared" ref="F70:F133" si="3">D70*B70</f>
        <v>146.32449868403589</v>
      </c>
    </row>
    <row r="71" spans="1:6" x14ac:dyDescent="0.2">
      <c r="A71">
        <v>12</v>
      </c>
      <c r="B71">
        <v>307.139314609206</v>
      </c>
      <c r="C71">
        <v>0.82829285652854601</v>
      </c>
      <c r="D71">
        <v>0.52481246611787702</v>
      </c>
      <c r="E71">
        <f t="shared" si="2"/>
        <v>254.40130024987903</v>
      </c>
      <c r="F71">
        <f t="shared" si="3"/>
        <v>161.19054114181191</v>
      </c>
    </row>
    <row r="72" spans="1:6" x14ac:dyDescent="0.2">
      <c r="A72">
        <v>12</v>
      </c>
      <c r="B72">
        <v>307.26017714844602</v>
      </c>
      <c r="C72">
        <v>0.79926068134337802</v>
      </c>
      <c r="D72">
        <v>0.52772449722980996</v>
      </c>
      <c r="E72">
        <f t="shared" si="2"/>
        <v>245.58097853735399</v>
      </c>
      <c r="F72">
        <f t="shared" si="3"/>
        <v>162.14872250440601</v>
      </c>
    </row>
    <row r="73" spans="1:6" x14ac:dyDescent="0.2">
      <c r="A73">
        <v>12</v>
      </c>
      <c r="B73">
        <v>303.554246345943</v>
      </c>
      <c r="C73">
        <v>0.82532557303820198</v>
      </c>
      <c r="D73">
        <v>0.54454217504204605</v>
      </c>
      <c r="E73">
        <f t="shared" si="2"/>
        <v>250.53108231364493</v>
      </c>
      <c r="F73">
        <f t="shared" si="3"/>
        <v>165.29808954846885</v>
      </c>
    </row>
    <row r="74" spans="1:6" x14ac:dyDescent="0.2">
      <c r="A74">
        <v>12</v>
      </c>
      <c r="B74">
        <v>310.06666455109701</v>
      </c>
      <c r="C74">
        <v>0.83558891031955096</v>
      </c>
      <c r="D74">
        <v>0.52529507447539203</v>
      </c>
      <c r="E74">
        <f t="shared" si="2"/>
        <v>259.08826635866888</v>
      </c>
      <c r="F74">
        <f t="shared" si="3"/>
        <v>162.87649164770491</v>
      </c>
    </row>
    <row r="75" spans="1:6" x14ac:dyDescent="0.2">
      <c r="A75">
        <v>12</v>
      </c>
      <c r="B75">
        <v>293.00838717883897</v>
      </c>
      <c r="C75">
        <v>0.88211742036353002</v>
      </c>
      <c r="D75">
        <v>0.51960091138701403</v>
      </c>
      <c r="E75">
        <f t="shared" si="2"/>
        <v>258.46780264307586</v>
      </c>
      <c r="F75">
        <f t="shared" si="3"/>
        <v>152.24742502216381</v>
      </c>
    </row>
    <row r="76" spans="1:6" x14ac:dyDescent="0.2">
      <c r="A76">
        <v>12</v>
      </c>
      <c r="B76">
        <v>315.85866272382299</v>
      </c>
      <c r="C76">
        <v>0.83279947487551398</v>
      </c>
      <c r="D76">
        <v>0.54117997777578597</v>
      </c>
      <c r="E76">
        <f t="shared" si="2"/>
        <v>263.04692845128187</v>
      </c>
      <c r="F76">
        <f t="shared" si="3"/>
        <v>170.936384073168</v>
      </c>
    </row>
    <row r="77" spans="1:6" x14ac:dyDescent="0.2">
      <c r="A77">
        <v>12</v>
      </c>
      <c r="B77">
        <v>302.16999471593402</v>
      </c>
      <c r="C77">
        <v>0.87270641780542502</v>
      </c>
      <c r="D77">
        <v>0.509681776485849</v>
      </c>
      <c r="E77">
        <f t="shared" si="2"/>
        <v>263.70569365682701</v>
      </c>
      <c r="F77">
        <f t="shared" si="3"/>
        <v>154.01053970753685</v>
      </c>
    </row>
    <row r="78" spans="1:6" x14ac:dyDescent="0.2">
      <c r="A78">
        <v>14</v>
      </c>
      <c r="B78">
        <v>323.72220823363898</v>
      </c>
      <c r="C78">
        <v>0.89502413200319997</v>
      </c>
      <c r="D78">
        <v>0.60718263514676196</v>
      </c>
      <c r="E78">
        <f t="shared" si="2"/>
        <v>289.73918843447188</v>
      </c>
      <c r="F78">
        <f t="shared" si="3"/>
        <v>196.5585034508297</v>
      </c>
    </row>
    <row r="79" spans="1:6" x14ac:dyDescent="0.2">
      <c r="A79">
        <v>14</v>
      </c>
      <c r="B79">
        <v>313.98790450577599</v>
      </c>
      <c r="C79">
        <v>0.862780336068106</v>
      </c>
      <c r="D79">
        <v>0.62239856407703698</v>
      </c>
      <c r="E79">
        <f t="shared" si="2"/>
        <v>270.90258977081379</v>
      </c>
      <c r="F79">
        <f t="shared" si="3"/>
        <v>195.42562090195278</v>
      </c>
    </row>
    <row r="80" spans="1:6" x14ac:dyDescent="0.2">
      <c r="A80">
        <v>14</v>
      </c>
      <c r="B80">
        <v>310.721003212418</v>
      </c>
      <c r="C80">
        <v>0.86015467134993595</v>
      </c>
      <c r="D80">
        <v>0.63680566640703995</v>
      </c>
      <c r="E80">
        <f t="shared" si="2"/>
        <v>267.26812239969979</v>
      </c>
      <c r="F80">
        <f t="shared" si="3"/>
        <v>197.86889551734785</v>
      </c>
    </row>
    <row r="81" spans="1:6" x14ac:dyDescent="0.2">
      <c r="A81">
        <v>14</v>
      </c>
      <c r="B81">
        <v>319.21010782635199</v>
      </c>
      <c r="C81">
        <v>0.89601648416634805</v>
      </c>
      <c r="D81">
        <v>0.60659728822219905</v>
      </c>
      <c r="E81">
        <f t="shared" si="2"/>
        <v>286.01751852492879</v>
      </c>
      <c r="F81">
        <f t="shared" si="3"/>
        <v>193.63198578058086</v>
      </c>
    </row>
    <row r="82" spans="1:6" x14ac:dyDescent="0.2">
      <c r="A82">
        <v>14</v>
      </c>
      <c r="B82">
        <v>312.98391872800198</v>
      </c>
      <c r="C82">
        <v>0.87314093645299595</v>
      </c>
      <c r="D82">
        <v>0.60659792548184299</v>
      </c>
      <c r="E82">
        <f t="shared" si="2"/>
        <v>273.27907189289601</v>
      </c>
      <c r="F82">
        <f t="shared" si="3"/>
        <v>189.85539580958374</v>
      </c>
    </row>
    <row r="83" spans="1:6" x14ac:dyDescent="0.2">
      <c r="A83">
        <v>14</v>
      </c>
      <c r="B83">
        <v>307.97796928501702</v>
      </c>
      <c r="C83">
        <v>0.86992533458821597</v>
      </c>
      <c r="D83">
        <v>0.58666249215698996</v>
      </c>
      <c r="E83">
        <f t="shared" si="2"/>
        <v>267.91783797606774</v>
      </c>
      <c r="F83">
        <f t="shared" si="3"/>
        <v>180.67912299019699</v>
      </c>
    </row>
    <row r="84" spans="1:6" x14ac:dyDescent="0.2">
      <c r="A84">
        <v>14</v>
      </c>
      <c r="B84">
        <v>316.365041888495</v>
      </c>
      <c r="C84">
        <v>0.89072999700435196</v>
      </c>
      <c r="D84">
        <v>0.60018864773450198</v>
      </c>
      <c r="E84">
        <f t="shared" si="2"/>
        <v>281.79583281362085</v>
      </c>
      <c r="F84">
        <f t="shared" si="3"/>
        <v>189.87870668152487</v>
      </c>
    </row>
    <row r="85" spans="1:6" x14ac:dyDescent="0.2">
      <c r="A85">
        <v>14</v>
      </c>
      <c r="B85">
        <v>305.291641667965</v>
      </c>
      <c r="C85">
        <v>0.86091317039993898</v>
      </c>
      <c r="D85">
        <v>0.60165695664247798</v>
      </c>
      <c r="E85">
        <f t="shared" si="2"/>
        <v>262.82959512496984</v>
      </c>
      <c r="F85">
        <f t="shared" si="3"/>
        <v>183.68084001433374</v>
      </c>
    </row>
    <row r="86" spans="1:6" x14ac:dyDescent="0.2">
      <c r="A86">
        <v>14</v>
      </c>
      <c r="B86">
        <v>344.367325822547</v>
      </c>
      <c r="C86">
        <v>0.87986580604232401</v>
      </c>
      <c r="D86">
        <v>0.61499977200570199</v>
      </c>
      <c r="E86">
        <f t="shared" si="2"/>
        <v>302.99703470949493</v>
      </c>
      <c r="F86">
        <f t="shared" si="3"/>
        <v>211.78582686707969</v>
      </c>
    </row>
    <row r="87" spans="1:6" x14ac:dyDescent="0.2">
      <c r="A87">
        <v>14</v>
      </c>
      <c r="B87">
        <v>327.03517482331</v>
      </c>
      <c r="C87">
        <v>0.83885494548962503</v>
      </c>
      <c r="D87">
        <v>0.587385441566877</v>
      </c>
      <c r="E87">
        <f t="shared" si="2"/>
        <v>274.33507374959771</v>
      </c>
      <c r="F87">
        <f t="shared" si="3"/>
        <v>192.09570057149077</v>
      </c>
    </row>
    <row r="88" spans="1:6" x14ac:dyDescent="0.2">
      <c r="A88">
        <v>14</v>
      </c>
      <c r="B88">
        <v>356.82315277354098</v>
      </c>
      <c r="C88">
        <v>0.88451556864876202</v>
      </c>
      <c r="D88">
        <v>0.59759145267617397</v>
      </c>
      <c r="E88">
        <f t="shared" si="2"/>
        <v>315.61563388253268</v>
      </c>
      <c r="F88">
        <f t="shared" si="3"/>
        <v>213.2344662144327</v>
      </c>
    </row>
    <row r="89" spans="1:6" x14ac:dyDescent="0.2">
      <c r="A89">
        <v>14</v>
      </c>
      <c r="B89">
        <v>351.59803614994598</v>
      </c>
      <c r="C89">
        <v>0.87937451571281899</v>
      </c>
      <c r="D89">
        <v>0.57814324878525403</v>
      </c>
      <c r="E89">
        <f t="shared" si="2"/>
        <v>309.186352764937</v>
      </c>
      <c r="F89">
        <f t="shared" si="3"/>
        <v>203.27403088624496</v>
      </c>
    </row>
    <row r="90" spans="1:6" x14ac:dyDescent="0.2">
      <c r="A90">
        <v>14</v>
      </c>
      <c r="B90">
        <v>351.71620497243998</v>
      </c>
      <c r="C90">
        <v>0.89014990591492804</v>
      </c>
      <c r="D90">
        <v>0.64901577906291696</v>
      </c>
      <c r="E90">
        <f t="shared" si="2"/>
        <v>313.08014676497299</v>
      </c>
      <c r="F90">
        <f t="shared" si="3"/>
        <v>228.26936677924073</v>
      </c>
    </row>
    <row r="91" spans="1:6" x14ac:dyDescent="0.2">
      <c r="A91">
        <v>14</v>
      </c>
      <c r="B91">
        <v>322.73174352828602</v>
      </c>
      <c r="C91">
        <v>0.85865589876499104</v>
      </c>
      <c r="D91">
        <v>0.54533903471943201</v>
      </c>
      <c r="E91">
        <f t="shared" si="2"/>
        <v>277.115515299273</v>
      </c>
      <c r="F91">
        <f t="shared" si="3"/>
        <v>175.9982174890348</v>
      </c>
    </row>
    <row r="92" spans="1:6" x14ac:dyDescent="0.2">
      <c r="A92">
        <v>16</v>
      </c>
      <c r="B92">
        <v>324.10176662957298</v>
      </c>
      <c r="C92">
        <v>0.892464567666713</v>
      </c>
      <c r="D92">
        <v>0.64122141148571898</v>
      </c>
      <c r="E92">
        <f t="shared" si="2"/>
        <v>289.24934303507973</v>
      </c>
      <c r="F92">
        <f t="shared" si="3"/>
        <v>207.82099226322987</v>
      </c>
    </row>
    <row r="93" spans="1:6" x14ac:dyDescent="0.2">
      <c r="A93">
        <v>16</v>
      </c>
      <c r="B93">
        <v>349.42405644192303</v>
      </c>
      <c r="C93">
        <v>0.89993253043663601</v>
      </c>
      <c r="D93">
        <v>0.68069203306373804</v>
      </c>
      <c r="E93">
        <f t="shared" si="2"/>
        <v>314.45807530921371</v>
      </c>
      <c r="F93">
        <f t="shared" si="3"/>
        <v>237.85017138083094</v>
      </c>
    </row>
    <row r="94" spans="1:6" x14ac:dyDescent="0.2">
      <c r="A94">
        <v>16</v>
      </c>
      <c r="B94">
        <v>354.80180839037803</v>
      </c>
      <c r="C94">
        <v>0.87923368467489404</v>
      </c>
      <c r="D94">
        <v>0.67477457582654099</v>
      </c>
      <c r="E94">
        <f t="shared" si="2"/>
        <v>311.95370132038784</v>
      </c>
      <c r="F94">
        <f t="shared" si="3"/>
        <v>239.41123975910702</v>
      </c>
    </row>
    <row r="95" spans="1:6" x14ac:dyDescent="0.2">
      <c r="A95">
        <v>16</v>
      </c>
      <c r="B95">
        <v>338.44787503489601</v>
      </c>
      <c r="C95">
        <v>0.894148347367832</v>
      </c>
      <c r="D95">
        <v>0.65245821706173401</v>
      </c>
      <c r="E95">
        <f t="shared" si="2"/>
        <v>302.62260813260679</v>
      </c>
      <c r="F95">
        <f t="shared" si="3"/>
        <v>220.82309711360082</v>
      </c>
    </row>
    <row r="96" spans="1:6" x14ac:dyDescent="0.2">
      <c r="A96">
        <v>16</v>
      </c>
      <c r="B96">
        <v>342.03312005544097</v>
      </c>
      <c r="C96">
        <v>0.90836788787089096</v>
      </c>
      <c r="D96">
        <v>0.64634462486957101</v>
      </c>
      <c r="E96">
        <f t="shared" si="2"/>
        <v>310.69190284665177</v>
      </c>
      <c r="F96">
        <f t="shared" si="3"/>
        <v>221.07126867520293</v>
      </c>
    </row>
    <row r="97" spans="1:6" x14ac:dyDescent="0.2">
      <c r="A97">
        <v>16</v>
      </c>
      <c r="B97">
        <v>342.04677885042599</v>
      </c>
      <c r="C97">
        <v>0.86445068744081099</v>
      </c>
      <c r="D97">
        <v>0.64629930386596501</v>
      </c>
      <c r="E97">
        <f t="shared" si="2"/>
        <v>295.68257311416579</v>
      </c>
      <c r="F97">
        <f t="shared" si="3"/>
        <v>221.064595060626</v>
      </c>
    </row>
    <row r="98" spans="1:6" x14ac:dyDescent="0.2">
      <c r="A98">
        <v>16</v>
      </c>
      <c r="B98">
        <v>337.976038725119</v>
      </c>
      <c r="C98">
        <v>0.87588157475345196</v>
      </c>
      <c r="D98">
        <v>0.66152182737438903</v>
      </c>
      <c r="E98">
        <f t="shared" si="2"/>
        <v>296.02698502749087</v>
      </c>
      <c r="F98">
        <f t="shared" si="3"/>
        <v>223.57852674619798</v>
      </c>
    </row>
    <row r="99" spans="1:6" x14ac:dyDescent="0.2">
      <c r="A99">
        <v>16</v>
      </c>
      <c r="B99">
        <v>328.887043669587</v>
      </c>
      <c r="C99">
        <v>0.88224384555374202</v>
      </c>
      <c r="D99">
        <v>0.68656465566307801</v>
      </c>
      <c r="E99">
        <f t="shared" si="2"/>
        <v>290.1585701598579</v>
      </c>
      <c r="F99">
        <f t="shared" si="3"/>
        <v>225.80221988905771</v>
      </c>
    </row>
    <row r="100" spans="1:6" x14ac:dyDescent="0.2">
      <c r="A100">
        <v>16</v>
      </c>
      <c r="B100">
        <v>343.25235518280198</v>
      </c>
      <c r="C100">
        <v>0.83992354039055905</v>
      </c>
      <c r="D100">
        <v>0.63372663109243499</v>
      </c>
      <c r="E100">
        <f t="shared" si="2"/>
        <v>288.30573341253671</v>
      </c>
      <c r="F100">
        <f t="shared" si="3"/>
        <v>217.52815866454102</v>
      </c>
    </row>
    <row r="101" spans="1:6" x14ac:dyDescent="0.2">
      <c r="A101">
        <v>16</v>
      </c>
      <c r="B101">
        <v>357.924015465906</v>
      </c>
      <c r="C101">
        <v>0.87450873644720695</v>
      </c>
      <c r="D101">
        <v>0.67381724015854105</v>
      </c>
      <c r="E101">
        <f t="shared" si="2"/>
        <v>313.00767850919999</v>
      </c>
      <c r="F101">
        <f t="shared" si="3"/>
        <v>241.17537228769973</v>
      </c>
    </row>
    <row r="102" spans="1:6" x14ac:dyDescent="0.2">
      <c r="A102">
        <v>16</v>
      </c>
      <c r="B102">
        <v>321.20281228175202</v>
      </c>
      <c r="C102">
        <v>0.90370830429058102</v>
      </c>
      <c r="D102">
        <v>0.67336187023063698</v>
      </c>
      <c r="E102">
        <f t="shared" si="2"/>
        <v>290.2736488205079</v>
      </c>
      <c r="F102">
        <f t="shared" si="3"/>
        <v>216.28572640138074</v>
      </c>
    </row>
    <row r="103" spans="1:6" x14ac:dyDescent="0.2">
      <c r="A103">
        <v>16</v>
      </c>
      <c r="B103">
        <v>321.57922733596001</v>
      </c>
      <c r="C103">
        <v>0.89796174692448805</v>
      </c>
      <c r="D103">
        <v>0.61251122974398697</v>
      </c>
      <c r="E103">
        <f t="shared" si="2"/>
        <v>288.76584475322574</v>
      </c>
      <c r="F103">
        <f t="shared" si="3"/>
        <v>196.97088799567001</v>
      </c>
    </row>
    <row r="104" spans="1:6" x14ac:dyDescent="0.2">
      <c r="A104">
        <v>16</v>
      </c>
      <c r="B104">
        <v>341.90369387374398</v>
      </c>
      <c r="C104">
        <v>0.89580364809372404</v>
      </c>
      <c r="D104">
        <v>0.67735717317670197</v>
      </c>
      <c r="E104">
        <f t="shared" si="2"/>
        <v>306.27857626881968</v>
      </c>
      <c r="F104">
        <f t="shared" si="3"/>
        <v>231.59091958099168</v>
      </c>
    </row>
    <row r="105" spans="1:6" x14ac:dyDescent="0.2">
      <c r="A105">
        <v>16</v>
      </c>
      <c r="B105">
        <v>327.43492387083501</v>
      </c>
      <c r="C105">
        <v>0.87325501331646804</v>
      </c>
      <c r="D105">
        <v>0.70718137547029902</v>
      </c>
      <c r="E105">
        <f t="shared" si="2"/>
        <v>285.93418880510274</v>
      </c>
      <c r="F105">
        <f t="shared" si="3"/>
        <v>231.55587983998976</v>
      </c>
    </row>
    <row r="106" spans="1:6" x14ac:dyDescent="0.2">
      <c r="A106">
        <v>16</v>
      </c>
      <c r="B106">
        <v>336.79684132619099</v>
      </c>
      <c r="C106">
        <v>0.88567471749987903</v>
      </c>
      <c r="D106">
        <v>0.64591714133995204</v>
      </c>
      <c r="E106">
        <f t="shared" si="2"/>
        <v>298.29244729642579</v>
      </c>
      <c r="F106">
        <f t="shared" si="3"/>
        <v>217.5428529617387</v>
      </c>
    </row>
    <row r="107" spans="1:6" x14ac:dyDescent="0.2">
      <c r="A107">
        <v>16</v>
      </c>
      <c r="B107">
        <v>341.93821231221102</v>
      </c>
      <c r="C107">
        <v>0.88944063331460799</v>
      </c>
      <c r="D107">
        <v>0.64031718602194598</v>
      </c>
      <c r="E107">
        <f t="shared" si="2"/>
        <v>304.13374011343785</v>
      </c>
      <c r="F107">
        <f t="shared" si="3"/>
        <v>218.94891390112969</v>
      </c>
    </row>
    <row r="108" spans="1:6" x14ac:dyDescent="0.2">
      <c r="A108">
        <v>16</v>
      </c>
      <c r="B108">
        <v>327.76742558980601</v>
      </c>
      <c r="C108">
        <v>0.87377142593446899</v>
      </c>
      <c r="D108">
        <v>0.637218857317707</v>
      </c>
      <c r="E108">
        <f t="shared" si="2"/>
        <v>286.39381083247474</v>
      </c>
      <c r="F108">
        <f t="shared" si="3"/>
        <v>208.85958440030274</v>
      </c>
    </row>
    <row r="109" spans="1:6" x14ac:dyDescent="0.2">
      <c r="A109">
        <v>16</v>
      </c>
      <c r="B109">
        <v>398.081991914448</v>
      </c>
      <c r="C109">
        <v>0.92192668592495297</v>
      </c>
      <c r="D109">
        <v>0.64324656006908698</v>
      </c>
      <c r="E109">
        <f t="shared" si="2"/>
        <v>367.00241153209095</v>
      </c>
      <c r="F109">
        <f t="shared" si="3"/>
        <v>256.06487192441875</v>
      </c>
    </row>
    <row r="110" spans="1:6" x14ac:dyDescent="0.2">
      <c r="A110">
        <v>16</v>
      </c>
      <c r="B110">
        <v>375.17077693416599</v>
      </c>
      <c r="C110">
        <v>0.88475713866603201</v>
      </c>
      <c r="D110">
        <v>0.536259290379687</v>
      </c>
      <c r="E110">
        <f t="shared" si="2"/>
        <v>331.93502311138485</v>
      </c>
      <c r="F110">
        <f t="shared" si="3"/>
        <v>201.1888146099117</v>
      </c>
    </row>
    <row r="111" spans="1:6" x14ac:dyDescent="0.2">
      <c r="A111">
        <v>16</v>
      </c>
      <c r="B111">
        <v>377.56582943925901</v>
      </c>
      <c r="C111">
        <v>0.90514433679692696</v>
      </c>
      <c r="D111">
        <v>0.62659099935580798</v>
      </c>
      <c r="E111">
        <f t="shared" si="2"/>
        <v>341.75157228497972</v>
      </c>
      <c r="F111">
        <f t="shared" si="3"/>
        <v>236.57935039094986</v>
      </c>
    </row>
    <row r="112" spans="1:6" x14ac:dyDescent="0.2">
      <c r="A112">
        <v>16</v>
      </c>
      <c r="B112">
        <v>394.97467321902599</v>
      </c>
      <c r="C112">
        <v>0.90922876662873797</v>
      </c>
      <c r="D112">
        <v>0.62519017278292899</v>
      </c>
      <c r="E112">
        <f t="shared" si="2"/>
        <v>359.12233498052382</v>
      </c>
      <c r="F112">
        <f t="shared" si="3"/>
        <v>246.93428419468378</v>
      </c>
    </row>
    <row r="113" spans="1:6" x14ac:dyDescent="0.2">
      <c r="A113">
        <v>18</v>
      </c>
      <c r="B113">
        <v>350.06242595361698</v>
      </c>
      <c r="C113">
        <v>0.874458654275032</v>
      </c>
      <c r="D113">
        <v>0.72417500961693404</v>
      </c>
      <c r="E113">
        <f t="shared" si="2"/>
        <v>306.11511791165293</v>
      </c>
      <c r="F113">
        <f t="shared" si="3"/>
        <v>253.50646068148782</v>
      </c>
    </row>
    <row r="114" spans="1:6" x14ac:dyDescent="0.2">
      <c r="A114">
        <v>18</v>
      </c>
      <c r="B114">
        <v>358.309204589405</v>
      </c>
      <c r="C114">
        <v>0.92880883361178002</v>
      </c>
      <c r="D114">
        <v>0.70612561025649501</v>
      </c>
      <c r="E114">
        <f t="shared" si="2"/>
        <v>332.80075438704989</v>
      </c>
      <c r="F114">
        <f t="shared" si="3"/>
        <v>253.01130575121292</v>
      </c>
    </row>
    <row r="115" spans="1:6" x14ac:dyDescent="0.2">
      <c r="A115">
        <v>18</v>
      </c>
      <c r="B115">
        <v>348.124029418124</v>
      </c>
      <c r="C115">
        <v>0.87420977637629804</v>
      </c>
      <c r="D115">
        <v>0.69004791790102005</v>
      </c>
      <c r="E115">
        <f t="shared" si="2"/>
        <v>304.33342990883398</v>
      </c>
      <c r="F115">
        <f t="shared" si="3"/>
        <v>240.22226167128991</v>
      </c>
    </row>
    <row r="116" spans="1:6" x14ac:dyDescent="0.2">
      <c r="A116">
        <v>18</v>
      </c>
      <c r="B116">
        <v>338.59822997992399</v>
      </c>
      <c r="C116">
        <v>0.86895546002633595</v>
      </c>
      <c r="D116">
        <v>0.72275855515751197</v>
      </c>
      <c r="E116">
        <f t="shared" si="2"/>
        <v>294.22678069630797</v>
      </c>
      <c r="F116">
        <f t="shared" si="3"/>
        <v>244.72476747918083</v>
      </c>
    </row>
    <row r="117" spans="1:6" x14ac:dyDescent="0.2">
      <c r="A117">
        <v>18</v>
      </c>
      <c r="B117">
        <v>338.40355479534998</v>
      </c>
      <c r="C117">
        <v>0.91086907345332502</v>
      </c>
      <c r="D117">
        <v>0.66556891849787903</v>
      </c>
      <c r="E117">
        <f t="shared" si="2"/>
        <v>308.24133240975192</v>
      </c>
      <c r="F117">
        <f t="shared" si="3"/>
        <v>225.23088798097882</v>
      </c>
    </row>
    <row r="118" spans="1:6" x14ac:dyDescent="0.2">
      <c r="A118">
        <v>18</v>
      </c>
      <c r="B118">
        <v>352.10399520897801</v>
      </c>
      <c r="C118">
        <v>0.89992593165265</v>
      </c>
      <c r="D118">
        <v>0.75104283408656103</v>
      </c>
      <c r="E118">
        <f t="shared" si="2"/>
        <v>316.86751592705974</v>
      </c>
      <c r="F118">
        <f t="shared" si="3"/>
        <v>264.44518245495175</v>
      </c>
    </row>
    <row r="119" spans="1:6" x14ac:dyDescent="0.2">
      <c r="A119">
        <v>18</v>
      </c>
      <c r="B119">
        <v>336.46887787057699</v>
      </c>
      <c r="C119">
        <v>0.90550594386043404</v>
      </c>
      <c r="D119">
        <v>0.73495509065133502</v>
      </c>
      <c r="E119">
        <f t="shared" si="2"/>
        <v>304.67456883585794</v>
      </c>
      <c r="F119">
        <f t="shared" si="3"/>
        <v>247.28951463672288</v>
      </c>
    </row>
    <row r="120" spans="1:6" x14ac:dyDescent="0.2">
      <c r="A120">
        <v>18</v>
      </c>
      <c r="B120">
        <v>352.77794316207201</v>
      </c>
      <c r="C120">
        <v>0.89598422750085305</v>
      </c>
      <c r="D120">
        <v>0.702368815504269</v>
      </c>
      <c r="E120">
        <f t="shared" si="2"/>
        <v>316.08347288340894</v>
      </c>
      <c r="F120">
        <f t="shared" si="3"/>
        <v>247.78022607477683</v>
      </c>
    </row>
    <row r="121" spans="1:6" x14ac:dyDescent="0.2">
      <c r="A121">
        <v>18</v>
      </c>
      <c r="B121">
        <v>382.42796161912503</v>
      </c>
      <c r="C121">
        <v>0.91319583200549603</v>
      </c>
      <c r="D121">
        <v>0.69345437174003599</v>
      </c>
      <c r="E121">
        <f t="shared" si="2"/>
        <v>349.23162059294276</v>
      </c>
      <c r="F121">
        <f t="shared" si="3"/>
        <v>265.19634186041293</v>
      </c>
    </row>
    <row r="122" spans="1:6" x14ac:dyDescent="0.2">
      <c r="A122">
        <v>18</v>
      </c>
      <c r="B122">
        <v>360.26582980330602</v>
      </c>
      <c r="C122">
        <v>0.87360349255673098</v>
      </c>
      <c r="D122">
        <v>0.69270820179710701</v>
      </c>
      <c r="E122">
        <f t="shared" si="2"/>
        <v>314.72948716501696</v>
      </c>
      <c r="F122">
        <f t="shared" si="3"/>
        <v>249.55909513199072</v>
      </c>
    </row>
    <row r="123" spans="1:6" x14ac:dyDescent="0.2">
      <c r="A123">
        <v>18</v>
      </c>
      <c r="B123">
        <v>348.40997165924398</v>
      </c>
      <c r="C123">
        <v>0.85823208565845099</v>
      </c>
      <c r="D123">
        <v>0.714399775600283</v>
      </c>
      <c r="E123">
        <f t="shared" si="2"/>
        <v>299.01661664131478</v>
      </c>
      <c r="F123">
        <f t="shared" si="3"/>
        <v>248.90400557026487</v>
      </c>
    </row>
    <row r="124" spans="1:6" x14ac:dyDescent="0.2">
      <c r="A124">
        <v>18</v>
      </c>
      <c r="B124">
        <v>370.70318430222898</v>
      </c>
      <c r="C124">
        <v>0.91777200396694103</v>
      </c>
      <c r="D124">
        <v>0.75862389804708796</v>
      </c>
      <c r="E124">
        <f t="shared" si="2"/>
        <v>340.22100433398299</v>
      </c>
      <c r="F124">
        <f t="shared" si="3"/>
        <v>281.22429469382502</v>
      </c>
    </row>
    <row r="125" spans="1:6" x14ac:dyDescent="0.2">
      <c r="A125">
        <v>18</v>
      </c>
      <c r="B125">
        <v>360.21941575650197</v>
      </c>
      <c r="C125">
        <v>0.90191254509013996</v>
      </c>
      <c r="D125">
        <v>0.71436551496055201</v>
      </c>
      <c r="E125">
        <f t="shared" si="2"/>
        <v>324.88641005582997</v>
      </c>
      <c r="F125">
        <f t="shared" si="3"/>
        <v>257.32832843568269</v>
      </c>
    </row>
    <row r="126" spans="1:6" x14ac:dyDescent="0.2">
      <c r="A126">
        <v>18</v>
      </c>
      <c r="B126">
        <v>366.01989572213301</v>
      </c>
      <c r="C126">
        <v>0.88750219650599105</v>
      </c>
      <c r="D126">
        <v>0.70138494566064902</v>
      </c>
      <c r="E126">
        <f t="shared" si="2"/>
        <v>324.84346141828684</v>
      </c>
      <c r="F126">
        <f t="shared" si="3"/>
        <v>256.72084467178468</v>
      </c>
    </row>
    <row r="127" spans="1:6" x14ac:dyDescent="0.2">
      <c r="A127">
        <v>18</v>
      </c>
      <c r="B127">
        <v>360.720098755469</v>
      </c>
      <c r="C127">
        <v>0.88778407703864204</v>
      </c>
      <c r="D127">
        <v>0.73695736139524004</v>
      </c>
      <c r="E127">
        <f t="shared" si="2"/>
        <v>320.24155994291186</v>
      </c>
      <c r="F127">
        <f t="shared" si="3"/>
        <v>265.83533218106083</v>
      </c>
    </row>
    <row r="128" spans="1:6" x14ac:dyDescent="0.2">
      <c r="A128">
        <v>18</v>
      </c>
      <c r="B128">
        <v>358.444368881446</v>
      </c>
      <c r="C128">
        <v>0.90106539937546304</v>
      </c>
      <c r="D128">
        <v>0.71992626464610499</v>
      </c>
      <c r="E128">
        <f t="shared" si="2"/>
        <v>322.98181840004594</v>
      </c>
      <c r="F128">
        <f t="shared" si="3"/>
        <v>258.05351557224998</v>
      </c>
    </row>
    <row r="129" spans="1:6" x14ac:dyDescent="0.2">
      <c r="A129">
        <v>18</v>
      </c>
      <c r="B129">
        <v>340.99705621328599</v>
      </c>
      <c r="C129">
        <v>0.88256824664683398</v>
      </c>
      <c r="D129">
        <v>0.70467127928947104</v>
      </c>
      <c r="E129">
        <f t="shared" si="2"/>
        <v>300.95317401389167</v>
      </c>
      <c r="F129">
        <f t="shared" si="3"/>
        <v>240.29083183575992</v>
      </c>
    </row>
    <row r="130" spans="1:6" x14ac:dyDescent="0.2">
      <c r="A130">
        <v>18</v>
      </c>
      <c r="B130">
        <v>345.14972292505502</v>
      </c>
      <c r="C130">
        <v>0.90302113942819495</v>
      </c>
      <c r="D130">
        <v>0.73990315282194197</v>
      </c>
      <c r="E130">
        <f t="shared" si="2"/>
        <v>311.67749606910894</v>
      </c>
      <c r="F130">
        <f t="shared" si="3"/>
        <v>255.37736818786792</v>
      </c>
    </row>
    <row r="131" spans="1:6" x14ac:dyDescent="0.2">
      <c r="A131">
        <v>18</v>
      </c>
      <c r="B131">
        <v>341.02589829575498</v>
      </c>
      <c r="C131">
        <v>0.892964164613686</v>
      </c>
      <c r="D131">
        <v>0.719664048343577</v>
      </c>
      <c r="E131">
        <f t="shared" si="2"/>
        <v>304.5239063833007</v>
      </c>
      <c r="F131">
        <f t="shared" si="3"/>
        <v>245.42407855752799</v>
      </c>
    </row>
    <row r="132" spans="1:6" x14ac:dyDescent="0.2">
      <c r="A132">
        <v>18</v>
      </c>
      <c r="B132">
        <v>343.52159522242198</v>
      </c>
      <c r="C132">
        <v>0.92842532995515403</v>
      </c>
      <c r="D132">
        <v>0.73533594170734995</v>
      </c>
      <c r="E132">
        <f t="shared" si="2"/>
        <v>318.934150391098</v>
      </c>
      <c r="F132">
        <f t="shared" si="3"/>
        <v>252.60377571969076</v>
      </c>
    </row>
    <row r="133" spans="1:6" x14ac:dyDescent="0.2">
      <c r="A133">
        <v>21</v>
      </c>
      <c r="B133">
        <v>322.42836755770298</v>
      </c>
      <c r="C133">
        <v>0.87286411616149395</v>
      </c>
      <c r="D133">
        <v>0.82965773757215699</v>
      </c>
      <c r="E133">
        <f t="shared" si="2"/>
        <v>281.43615207364775</v>
      </c>
      <c r="F133">
        <f t="shared" si="3"/>
        <v>267.5051899570077</v>
      </c>
    </row>
    <row r="134" spans="1:6" x14ac:dyDescent="0.2">
      <c r="A134">
        <v>21</v>
      </c>
      <c r="B134">
        <v>334.48184749791898</v>
      </c>
      <c r="C134">
        <v>0.92200763010719899</v>
      </c>
      <c r="D134">
        <v>0.81900950839540898</v>
      </c>
      <c r="E134">
        <f t="shared" ref="E134:E163" si="4">C134*B134</f>
        <v>308.39481552543384</v>
      </c>
      <c r="F134">
        <f t="shared" ref="F134:F163" si="5">D134*B134</f>
        <v>273.94381348645879</v>
      </c>
    </row>
    <row r="135" spans="1:6" x14ac:dyDescent="0.2">
      <c r="A135">
        <v>21</v>
      </c>
      <c r="B135">
        <v>377.00338798018697</v>
      </c>
      <c r="C135">
        <v>0.92611052797811699</v>
      </c>
      <c r="D135">
        <v>0.776976514176</v>
      </c>
      <c r="E135">
        <f t="shared" si="4"/>
        <v>349.14680669186987</v>
      </c>
      <c r="F135">
        <f t="shared" si="5"/>
        <v>292.92277822538779</v>
      </c>
    </row>
    <row r="136" spans="1:6" x14ac:dyDescent="0.2">
      <c r="A136">
        <v>21</v>
      </c>
      <c r="B136">
        <v>367.84194666563599</v>
      </c>
      <c r="C136">
        <v>0.95048004744312697</v>
      </c>
      <c r="D136">
        <v>0.80504312835283398</v>
      </c>
      <c r="E136">
        <f t="shared" si="4"/>
        <v>349.62643091832587</v>
      </c>
      <c r="F136">
        <f t="shared" si="5"/>
        <v>296.12863148309992</v>
      </c>
    </row>
    <row r="137" spans="1:6" x14ac:dyDescent="0.2">
      <c r="A137">
        <v>21</v>
      </c>
      <c r="B137">
        <v>375.11440827625</v>
      </c>
      <c r="C137">
        <v>0.941636960766987</v>
      </c>
      <c r="D137">
        <v>0.81716903927886697</v>
      </c>
      <c r="E137">
        <f t="shared" si="4"/>
        <v>353.22159134915478</v>
      </c>
      <c r="F137">
        <f t="shared" si="5"/>
        <v>306.53188063076391</v>
      </c>
    </row>
    <row r="138" spans="1:6" x14ac:dyDescent="0.2">
      <c r="A138">
        <v>21</v>
      </c>
      <c r="B138">
        <v>339.96145126717198</v>
      </c>
      <c r="C138">
        <v>0.92070014178871895</v>
      </c>
      <c r="D138">
        <v>0.83055311624190098</v>
      </c>
      <c r="E138">
        <f t="shared" si="4"/>
        <v>313.00255638438392</v>
      </c>
      <c r="F138">
        <f t="shared" si="5"/>
        <v>282.35604275206884</v>
      </c>
    </row>
    <row r="139" spans="1:6" x14ac:dyDescent="0.2">
      <c r="A139">
        <v>21</v>
      </c>
      <c r="B139">
        <v>340.356132577442</v>
      </c>
      <c r="C139">
        <v>0.90916309544352802</v>
      </c>
      <c r="D139">
        <v>0.82927266730122595</v>
      </c>
      <c r="E139">
        <f t="shared" si="4"/>
        <v>309.43923504729497</v>
      </c>
      <c r="F139">
        <f t="shared" si="5"/>
        <v>282.24803789482502</v>
      </c>
    </row>
    <row r="140" spans="1:6" x14ac:dyDescent="0.2">
      <c r="A140">
        <v>21</v>
      </c>
      <c r="B140">
        <v>294.04378533171899</v>
      </c>
      <c r="C140">
        <v>0.90223954152353103</v>
      </c>
      <c r="D140">
        <v>0.81105303496546</v>
      </c>
      <c r="E140">
        <f t="shared" si="4"/>
        <v>265.29793006553371</v>
      </c>
      <c r="F140">
        <f t="shared" si="5"/>
        <v>238.48510450602291</v>
      </c>
    </row>
    <row r="141" spans="1:6" x14ac:dyDescent="0.2">
      <c r="A141">
        <v>21</v>
      </c>
      <c r="B141">
        <v>315.21108891646702</v>
      </c>
      <c r="C141">
        <v>0.906987151226612</v>
      </c>
      <c r="D141">
        <v>0.85363767938500001</v>
      </c>
      <c r="E141">
        <f t="shared" si="4"/>
        <v>285.89240757138469</v>
      </c>
      <c r="F141">
        <f t="shared" si="5"/>
        <v>269.07606245907181</v>
      </c>
    </row>
    <row r="142" spans="1:6" x14ac:dyDescent="0.2">
      <c r="A142">
        <v>21</v>
      </c>
      <c r="B142">
        <v>324.37932184011402</v>
      </c>
      <c r="C142">
        <v>0.85476713911829205</v>
      </c>
      <c r="D142">
        <v>0.80157010213026103</v>
      </c>
      <c r="E142">
        <f t="shared" si="4"/>
        <v>277.26878491840597</v>
      </c>
      <c r="F142">
        <f t="shared" si="5"/>
        <v>260.01276613632501</v>
      </c>
    </row>
    <row r="143" spans="1:6" x14ac:dyDescent="0.2">
      <c r="A143">
        <v>21</v>
      </c>
      <c r="B143">
        <v>347.89439962383</v>
      </c>
      <c r="C143">
        <v>0.91134454178625801</v>
      </c>
      <c r="D143">
        <v>0.80823038653976598</v>
      </c>
      <c r="E143">
        <f t="shared" si="4"/>
        <v>317.05166221518471</v>
      </c>
      <c r="F143">
        <f t="shared" si="5"/>
        <v>281.17882508298794</v>
      </c>
    </row>
    <row r="144" spans="1:6" x14ac:dyDescent="0.2">
      <c r="A144">
        <v>21</v>
      </c>
      <c r="B144">
        <v>350.11720957561602</v>
      </c>
      <c r="C144">
        <v>0.91069811157015002</v>
      </c>
      <c r="D144">
        <v>0.80829500927367504</v>
      </c>
      <c r="E144">
        <f t="shared" si="4"/>
        <v>318.85108158872396</v>
      </c>
      <c r="F144">
        <f t="shared" si="5"/>
        <v>282.99799316079577</v>
      </c>
    </row>
    <row r="145" spans="1:6" x14ac:dyDescent="0.2">
      <c r="A145">
        <v>21</v>
      </c>
      <c r="B145">
        <v>329.40847861864597</v>
      </c>
      <c r="C145">
        <v>0.92357284899933301</v>
      </c>
      <c r="D145">
        <v>0.79748642056225105</v>
      </c>
      <c r="E145">
        <f t="shared" si="4"/>
        <v>304.23272708235874</v>
      </c>
      <c r="F145">
        <f t="shared" si="5"/>
        <v>262.6987885164408</v>
      </c>
    </row>
    <row r="146" spans="1:6" x14ac:dyDescent="0.2">
      <c r="A146">
        <v>21</v>
      </c>
      <c r="B146">
        <v>309.55315965217397</v>
      </c>
      <c r="C146">
        <v>0.859907440466533</v>
      </c>
      <c r="D146">
        <v>0.84396626892535098</v>
      </c>
      <c r="E146">
        <f t="shared" si="4"/>
        <v>266.18706520482897</v>
      </c>
      <c r="F146">
        <f t="shared" si="5"/>
        <v>261.25242518569877</v>
      </c>
    </row>
    <row r="147" spans="1:6" x14ac:dyDescent="0.2">
      <c r="A147">
        <v>21</v>
      </c>
      <c r="B147">
        <v>319.426488332867</v>
      </c>
      <c r="C147">
        <v>0.89689413937625995</v>
      </c>
      <c r="D147">
        <v>0.85247629177099005</v>
      </c>
      <c r="E147">
        <f t="shared" si="4"/>
        <v>286.49174534728769</v>
      </c>
      <c r="F147">
        <f t="shared" si="5"/>
        <v>272.30350826743188</v>
      </c>
    </row>
    <row r="148" spans="1:6" x14ac:dyDescent="0.2">
      <c r="A148">
        <v>21</v>
      </c>
      <c r="B148">
        <v>322.74164798419599</v>
      </c>
      <c r="C148">
        <v>0.904584182744406</v>
      </c>
      <c r="D148">
        <v>0.82876410696748604</v>
      </c>
      <c r="E148">
        <f t="shared" si="4"/>
        <v>291.9469898793667</v>
      </c>
      <c r="F148">
        <f t="shared" si="5"/>
        <v>267.47669367283692</v>
      </c>
    </row>
    <row r="149" spans="1:6" x14ac:dyDescent="0.2">
      <c r="A149">
        <v>21</v>
      </c>
      <c r="B149">
        <v>376.23756269025</v>
      </c>
      <c r="C149">
        <v>0.92359542692212704</v>
      </c>
      <c r="D149">
        <v>0.74326286136087505</v>
      </c>
      <c r="E149">
        <f t="shared" si="4"/>
        <v>347.49129233704201</v>
      </c>
      <c r="F149">
        <f t="shared" si="5"/>
        <v>279.64340739659684</v>
      </c>
    </row>
    <row r="150" spans="1:6" x14ac:dyDescent="0.2">
      <c r="A150">
        <v>21</v>
      </c>
      <c r="B150">
        <v>279.18051892303998</v>
      </c>
      <c r="C150">
        <v>0.84582423565676301</v>
      </c>
      <c r="D150">
        <v>0.82963712442991</v>
      </c>
      <c r="E150">
        <f t="shared" si="4"/>
        <v>236.13764902833876</v>
      </c>
      <c r="F150">
        <f t="shared" si="5"/>
        <v>231.61852291616097</v>
      </c>
    </row>
    <row r="151" spans="1:6" x14ac:dyDescent="0.2">
      <c r="A151">
        <v>21</v>
      </c>
      <c r="B151">
        <v>328.641728334768</v>
      </c>
      <c r="C151">
        <v>0.90772092651702696</v>
      </c>
      <c r="D151">
        <v>0.829942469235181</v>
      </c>
      <c r="E151">
        <f t="shared" si="4"/>
        <v>298.31497413619269</v>
      </c>
      <c r="F151">
        <f t="shared" si="5"/>
        <v>272.75372750787488</v>
      </c>
    </row>
    <row r="152" spans="1:6" x14ac:dyDescent="0.2">
      <c r="A152">
        <v>21</v>
      </c>
      <c r="B152">
        <v>377.66220107480302</v>
      </c>
      <c r="C152">
        <v>0.93318022196924599</v>
      </c>
      <c r="D152">
        <v>0.76154828968601396</v>
      </c>
      <c r="E152">
        <f t="shared" si="4"/>
        <v>352.4268966283787</v>
      </c>
      <c r="F152">
        <f t="shared" si="5"/>
        <v>287.60800330757172</v>
      </c>
    </row>
    <row r="153" spans="1:6" x14ac:dyDescent="0.2">
      <c r="A153">
        <v>21</v>
      </c>
      <c r="B153">
        <v>324.91404543670097</v>
      </c>
      <c r="C153">
        <v>0.89773946932883797</v>
      </c>
      <c r="D153">
        <v>0.81650704047594302</v>
      </c>
      <c r="E153">
        <f t="shared" si="4"/>
        <v>291.68816272782988</v>
      </c>
      <c r="F153">
        <f t="shared" si="5"/>
        <v>265.29460564858681</v>
      </c>
    </row>
    <row r="154" spans="1:6" x14ac:dyDescent="0.2">
      <c r="A154">
        <v>21</v>
      </c>
      <c r="B154">
        <v>375.474104638396</v>
      </c>
      <c r="C154">
        <v>0.90881529542092099</v>
      </c>
      <c r="D154">
        <v>0.73221213997974</v>
      </c>
      <c r="E154">
        <f t="shared" si="4"/>
        <v>341.23660932984967</v>
      </c>
      <c r="F154">
        <f t="shared" si="5"/>
        <v>274.92669766425678</v>
      </c>
    </row>
    <row r="155" spans="1:6" x14ac:dyDescent="0.2">
      <c r="A155">
        <v>21</v>
      </c>
      <c r="B155">
        <v>350.694024352106</v>
      </c>
      <c r="C155">
        <v>0.92409881036599095</v>
      </c>
      <c r="D155">
        <v>0.78022314477451604</v>
      </c>
      <c r="E155">
        <f t="shared" si="4"/>
        <v>324.07593070624301</v>
      </c>
      <c r="F155">
        <f t="shared" si="5"/>
        <v>273.61959453363085</v>
      </c>
    </row>
    <row r="156" spans="1:6" x14ac:dyDescent="0.2">
      <c r="A156">
        <v>21</v>
      </c>
      <c r="B156">
        <v>355.93172136375898</v>
      </c>
      <c r="C156">
        <v>0.90883686269574204</v>
      </c>
      <c r="D156">
        <v>0.78182988701485601</v>
      </c>
      <c r="E156">
        <f t="shared" si="4"/>
        <v>323.48386897813373</v>
      </c>
      <c r="F156">
        <f t="shared" si="5"/>
        <v>278.27805749883089</v>
      </c>
    </row>
    <row r="157" spans="1:6" x14ac:dyDescent="0.2">
      <c r="A157">
        <v>21</v>
      </c>
      <c r="B157">
        <v>365.16573088314999</v>
      </c>
      <c r="C157">
        <v>0.92275480385602704</v>
      </c>
      <c r="D157">
        <v>0.74206689635473599</v>
      </c>
      <c r="E157">
        <f t="shared" si="4"/>
        <v>336.95843237602384</v>
      </c>
      <c r="F157">
        <f t="shared" si="5"/>
        <v>270.9774005715679</v>
      </c>
    </row>
    <row r="158" spans="1:6" x14ac:dyDescent="0.2">
      <c r="A158">
        <v>21</v>
      </c>
      <c r="B158">
        <v>350.05399694310302</v>
      </c>
      <c r="C158">
        <v>0.93001817839998602</v>
      </c>
      <c r="D158">
        <v>0.78859381475853996</v>
      </c>
      <c r="E158">
        <f t="shared" si="4"/>
        <v>325.55658057865895</v>
      </c>
      <c r="F158">
        <f t="shared" si="5"/>
        <v>276.05041682083589</v>
      </c>
    </row>
    <row r="159" spans="1:6" x14ac:dyDescent="0.2">
      <c r="A159">
        <v>21</v>
      </c>
      <c r="B159">
        <v>341.80946956305797</v>
      </c>
      <c r="C159">
        <v>0.92412867880685801</v>
      </c>
      <c r="D159">
        <v>0.78206613346625597</v>
      </c>
      <c r="E159">
        <f t="shared" si="4"/>
        <v>315.87593351098172</v>
      </c>
      <c r="F159">
        <f t="shared" si="5"/>
        <v>267.31761024333264</v>
      </c>
    </row>
    <row r="160" spans="1:6" x14ac:dyDescent="0.2">
      <c r="A160">
        <v>21</v>
      </c>
      <c r="B160">
        <v>339.20623226249398</v>
      </c>
      <c r="C160">
        <v>0.89119998066421802</v>
      </c>
      <c r="D160">
        <v>0.84219282709393195</v>
      </c>
      <c r="E160">
        <f t="shared" si="4"/>
        <v>302.3005876335169</v>
      </c>
      <c r="F160">
        <f t="shared" si="5"/>
        <v>285.67705571703073</v>
      </c>
    </row>
    <row r="161" spans="1:6" x14ac:dyDescent="0.2">
      <c r="A161">
        <v>21</v>
      </c>
      <c r="B161">
        <v>380.216202720186</v>
      </c>
      <c r="C161">
        <v>0.92533152223467297</v>
      </c>
      <c r="D161">
        <v>0.71168509275758896</v>
      </c>
      <c r="E161">
        <f t="shared" si="4"/>
        <v>351.82603764135672</v>
      </c>
      <c r="F161">
        <f t="shared" si="5"/>
        <v>270.59420350085384</v>
      </c>
    </row>
    <row r="162" spans="1:6" x14ac:dyDescent="0.2">
      <c r="A162">
        <v>21</v>
      </c>
      <c r="B162">
        <v>324.14424949338502</v>
      </c>
      <c r="C162">
        <v>0.876286505906817</v>
      </c>
      <c r="D162">
        <v>0.75661281651983703</v>
      </c>
      <c r="E162">
        <f t="shared" si="4"/>
        <v>284.04323179834591</v>
      </c>
      <c r="F162">
        <f t="shared" si="5"/>
        <v>245.2516935678988</v>
      </c>
    </row>
    <row r="163" spans="1:6" x14ac:dyDescent="0.2">
      <c r="A163">
        <v>21</v>
      </c>
      <c r="B163">
        <v>353.597363179269</v>
      </c>
      <c r="C163">
        <v>0.88992915044180099</v>
      </c>
      <c r="D163">
        <v>0.73579556332922003</v>
      </c>
      <c r="E163">
        <f t="shared" si="4"/>
        <v>314.67660101258781</v>
      </c>
      <c r="F163">
        <f t="shared" si="5"/>
        <v>260.17537103221701</v>
      </c>
    </row>
  </sheetData>
  <sortState xmlns:xlrd2="http://schemas.microsoft.com/office/spreadsheetml/2017/richdata2" ref="A5:D163">
    <sortCondition ref="A5:A16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8794-23FC-9C46-9593-D458A44E8FA4}">
  <dimension ref="A1:K155"/>
  <sheetViews>
    <sheetView workbookViewId="0">
      <selection activeCell="I5" sqref="I5:K14"/>
    </sheetView>
  </sheetViews>
  <sheetFormatPr baseColWidth="10" defaultRowHeight="16" x14ac:dyDescent="0.2"/>
  <cols>
    <col min="5" max="6" width="14.1640625" bestFit="1" customWidth="1"/>
    <col min="9" max="9" width="13.33203125" bestFit="1" customWidth="1"/>
    <col min="10" max="11" width="21" bestFit="1" customWidth="1"/>
  </cols>
  <sheetData>
    <row r="1" spans="1:11" x14ac:dyDescent="0.2">
      <c r="A1" t="s">
        <v>4</v>
      </c>
      <c r="B1" t="s">
        <v>5</v>
      </c>
    </row>
    <row r="2" spans="1:11" x14ac:dyDescent="0.2">
      <c r="A2" t="s">
        <v>6</v>
      </c>
      <c r="B2" t="s">
        <v>9</v>
      </c>
    </row>
    <row r="4" spans="1:11" x14ac:dyDescent="0.2">
      <c r="A4" t="s">
        <v>0</v>
      </c>
      <c r="B4" t="s">
        <v>1</v>
      </c>
      <c r="C4" t="s">
        <v>2</v>
      </c>
      <c r="D4" t="s">
        <v>3</v>
      </c>
      <c r="E4" t="s">
        <v>12</v>
      </c>
      <c r="F4" t="s">
        <v>11</v>
      </c>
      <c r="H4" t="s">
        <v>0</v>
      </c>
      <c r="I4" t="s">
        <v>13</v>
      </c>
      <c r="J4" t="s">
        <v>16</v>
      </c>
      <c r="K4" t="s">
        <v>15</v>
      </c>
    </row>
    <row r="5" spans="1:11" x14ac:dyDescent="0.2">
      <c r="A5">
        <v>3</v>
      </c>
      <c r="B5">
        <v>153.24628614090901</v>
      </c>
      <c r="C5">
        <v>0</v>
      </c>
      <c r="D5">
        <v>0</v>
      </c>
      <c r="E5">
        <f>C5*B5</f>
        <v>0</v>
      </c>
      <c r="F5">
        <f>D5*B5</f>
        <v>0</v>
      </c>
      <c r="H5">
        <v>3</v>
      </c>
      <c r="I5">
        <f>AVERAGEIF($A$5:$A$155, 3, $B$5:$B$155)</f>
        <v>155.70217264390985</v>
      </c>
      <c r="J5">
        <f>AVERAGEIF($A$5:$A$155, 3, $E$5:$E$155)</f>
        <v>19.074300394318538</v>
      </c>
      <c r="K5">
        <f>AVERAGEIF($A$5:$A$155, 3, $F$5:$F$155)</f>
        <v>0</v>
      </c>
    </row>
    <row r="6" spans="1:11" x14ac:dyDescent="0.2">
      <c r="A6">
        <v>3</v>
      </c>
      <c r="B6">
        <v>148.40726353722999</v>
      </c>
      <c r="C6">
        <v>0.14174513117313001</v>
      </c>
      <c r="D6">
        <v>0</v>
      </c>
      <c r="E6">
        <f t="shared" ref="E6:E69" si="0">C6*B6</f>
        <v>21.036007037129938</v>
      </c>
      <c r="F6">
        <f t="shared" ref="F6:F69" si="1">D6*B6</f>
        <v>0</v>
      </c>
      <c r="H6">
        <v>4</v>
      </c>
      <c r="I6">
        <f>AVERAGEIF($A$5:$A$155, 4, $B$5:$B$155)</f>
        <v>172.794763700191</v>
      </c>
      <c r="J6">
        <f>AVERAGEIF($A$5:$A$155, 4, $E$5:$E$155)</f>
        <v>25.998815397452265</v>
      </c>
      <c r="K6">
        <f>AVERAGEIF($A$5:$A$155, 4, $F$5:$F$155)</f>
        <v>0</v>
      </c>
    </row>
    <row r="7" spans="1:11" x14ac:dyDescent="0.2">
      <c r="A7">
        <v>3</v>
      </c>
      <c r="B7">
        <v>157.043671814893</v>
      </c>
      <c r="C7">
        <v>0.17042847144999801</v>
      </c>
      <c r="D7">
        <v>0</v>
      </c>
      <c r="E7">
        <f t="shared" si="0"/>
        <v>26.764712938307348</v>
      </c>
      <c r="F7">
        <f t="shared" si="1"/>
        <v>0</v>
      </c>
      <c r="H7">
        <v>5</v>
      </c>
      <c r="I7">
        <f>AVERAGEIF($A$5:$A$155, 5, $B$5:$B$155)</f>
        <v>184.17207923115851</v>
      </c>
      <c r="J7">
        <f>AVERAGEIF($A$5:$A$155, 5, $E$5:$E$155)</f>
        <v>35.259676348466073</v>
      </c>
      <c r="K7">
        <f>AVERAGEIF($A$5:$A$155, 5, $F$5:$F$155)</f>
        <v>0</v>
      </c>
    </row>
    <row r="8" spans="1:11" x14ac:dyDescent="0.2">
      <c r="A8">
        <v>3</v>
      </c>
      <c r="B8">
        <v>157.73732132413701</v>
      </c>
      <c r="C8">
        <v>0.24075066560505001</v>
      </c>
      <c r="D8">
        <v>0</v>
      </c>
      <c r="E8">
        <f t="shared" si="0"/>
        <v>37.975365099543637</v>
      </c>
      <c r="F8">
        <f t="shared" si="1"/>
        <v>0</v>
      </c>
      <c r="H8">
        <v>7</v>
      </c>
      <c r="I8">
        <f>AVERAGEIF($A$5:$A$155, 7, $B$5:$B$155)</f>
        <v>222.7129470901929</v>
      </c>
      <c r="J8">
        <f>AVERAGEIF($A$5:$A$155, 7, $E$5:$E$155)</f>
        <v>111.46044011268086</v>
      </c>
      <c r="K8">
        <f>AVERAGEIF($A$5:$A$155, 7, $F$5:$F$155)</f>
        <v>0</v>
      </c>
    </row>
    <row r="9" spans="1:11" x14ac:dyDescent="0.2">
      <c r="A9">
        <v>3</v>
      </c>
      <c r="B9">
        <v>156.06557135692699</v>
      </c>
      <c r="C9">
        <v>0.18370302329757099</v>
      </c>
      <c r="D9">
        <v>0</v>
      </c>
      <c r="E9">
        <f t="shared" si="0"/>
        <v>28.669717290930286</v>
      </c>
      <c r="F9">
        <f t="shared" si="1"/>
        <v>0</v>
      </c>
      <c r="H9">
        <v>10</v>
      </c>
      <c r="I9">
        <f>AVERAGEIF($A$5:$A$155, 10, $B$5:$B$155)</f>
        <v>271.51331180633019</v>
      </c>
      <c r="J9">
        <f>AVERAGEIF($A$5:$A$155, 10, $E$5:$E$155)</f>
        <v>213.98690644137849</v>
      </c>
      <c r="K9">
        <f>AVERAGEIF($A$5:$A$155, 10, $F$5:$F$155)</f>
        <v>94.437385000193871</v>
      </c>
    </row>
    <row r="10" spans="1:11" x14ac:dyDescent="0.2">
      <c r="A10">
        <v>3</v>
      </c>
      <c r="B10">
        <v>161.71292168936299</v>
      </c>
      <c r="C10">
        <v>0</v>
      </c>
      <c r="D10">
        <v>0</v>
      </c>
      <c r="E10">
        <f t="shared" si="0"/>
        <v>0</v>
      </c>
      <c r="F10">
        <f t="shared" si="1"/>
        <v>0</v>
      </c>
      <c r="H10">
        <v>12</v>
      </c>
      <c r="I10">
        <f>AVERAGEIF($A$5:$A$155, 12, $B$5:$B$155)</f>
        <v>277.72255378855556</v>
      </c>
      <c r="J10">
        <f>AVERAGEIF($A$5:$A$155, 12, $E$5:$E$155)</f>
        <v>227.62334270585706</v>
      </c>
      <c r="K10">
        <f>AVERAGEIF($A$5:$A$155, 12, $F$5:$F$155)</f>
        <v>125.26877644923287</v>
      </c>
    </row>
    <row r="11" spans="1:11" x14ac:dyDescent="0.2">
      <c r="A11">
        <v>4</v>
      </c>
      <c r="B11">
        <v>166.668381559175</v>
      </c>
      <c r="C11">
        <v>0.33799079707517399</v>
      </c>
      <c r="D11">
        <v>0</v>
      </c>
      <c r="E11">
        <f t="shared" si="0"/>
        <v>56.332379130414786</v>
      </c>
      <c r="F11">
        <f t="shared" si="1"/>
        <v>0</v>
      </c>
      <c r="H11">
        <v>14</v>
      </c>
      <c r="I11">
        <f>AVERAGEIF($A$5:$A$155, 14, $B$5:$B$155)</f>
        <v>313.16003378782523</v>
      </c>
      <c r="J11">
        <f>AVERAGEIF($A$5:$A$155, 14, $E$5:$E$155)</f>
        <v>267.6394227516634</v>
      </c>
      <c r="K11">
        <f>AVERAGEIF($A$5:$A$155, 14, $F$5:$F$155)</f>
        <v>169.23759809090745</v>
      </c>
    </row>
    <row r="12" spans="1:11" x14ac:dyDescent="0.2">
      <c r="A12">
        <v>4</v>
      </c>
      <c r="B12">
        <v>177.14429883186801</v>
      </c>
      <c r="C12">
        <v>0.27583560603843099</v>
      </c>
      <c r="D12">
        <v>0</v>
      </c>
      <c r="E12">
        <f t="shared" si="0"/>
        <v>48.862705024541235</v>
      </c>
      <c r="F12">
        <f t="shared" si="1"/>
        <v>0</v>
      </c>
      <c r="H12">
        <v>16</v>
      </c>
      <c r="I12">
        <f>AVERAGEIF($A$5:$A$155, 16, $B$5:$B$155)</f>
        <v>331.85416198236243</v>
      </c>
      <c r="J12">
        <f>AVERAGEIF($A$5:$A$155, 16, $E$5:$E$155)</f>
        <v>286.74415939363314</v>
      </c>
      <c r="K12">
        <f>AVERAGEIF($A$5:$A$155, 16, $F$5:$F$155)</f>
        <v>197.84738679091049</v>
      </c>
    </row>
    <row r="13" spans="1:11" x14ac:dyDescent="0.2">
      <c r="A13">
        <v>4</v>
      </c>
      <c r="B13">
        <v>173.310634075244</v>
      </c>
      <c r="C13">
        <v>0.24963521730251101</v>
      </c>
      <c r="D13">
        <v>0</v>
      </c>
      <c r="E13">
        <f t="shared" si="0"/>
        <v>43.264437798209507</v>
      </c>
      <c r="F13">
        <f t="shared" si="1"/>
        <v>0</v>
      </c>
      <c r="H13">
        <v>18</v>
      </c>
      <c r="I13">
        <f>AVERAGEIF($A$5:$A$155, 18, $B$5:$B$155)</f>
        <v>329.86538022212358</v>
      </c>
      <c r="J13">
        <f>AVERAGEIF($A$5:$A$155, 18, $E$5:$E$155)</f>
        <v>286.73897640103144</v>
      </c>
      <c r="K13">
        <f>AVERAGEIF($A$5:$A$155, 18, $F$5:$F$155)</f>
        <v>213.31420603780018</v>
      </c>
    </row>
    <row r="14" spans="1:11" x14ac:dyDescent="0.2">
      <c r="A14">
        <v>4</v>
      </c>
      <c r="B14">
        <v>171.70567344973199</v>
      </c>
      <c r="C14">
        <v>0</v>
      </c>
      <c r="D14">
        <v>0</v>
      </c>
      <c r="E14">
        <f t="shared" si="0"/>
        <v>0</v>
      </c>
      <c r="F14">
        <f t="shared" si="1"/>
        <v>0</v>
      </c>
      <c r="H14">
        <v>21</v>
      </c>
      <c r="I14">
        <f>AVERAGEIF($A$5:$A$155, 21, $B$5:$B$155)</f>
        <v>338.17566341552134</v>
      </c>
      <c r="J14">
        <f>AVERAGEIF($A$5:$A$155, 21, $E$5:$E$155)</f>
        <v>303.26491454304471</v>
      </c>
      <c r="K14">
        <f>AVERAGEIF($A$5:$A$155, 21, $F$5:$F$155)</f>
        <v>245.50353537877106</v>
      </c>
    </row>
    <row r="15" spans="1:11" x14ac:dyDescent="0.2">
      <c r="A15">
        <v>4</v>
      </c>
      <c r="B15">
        <v>169.19269454285799</v>
      </c>
      <c r="C15">
        <v>0</v>
      </c>
      <c r="D15">
        <v>0</v>
      </c>
      <c r="E15">
        <f t="shared" si="0"/>
        <v>0</v>
      </c>
      <c r="F15">
        <f t="shared" si="1"/>
        <v>0</v>
      </c>
    </row>
    <row r="16" spans="1:11" x14ac:dyDescent="0.2">
      <c r="A16">
        <v>4</v>
      </c>
      <c r="B16">
        <v>171.71856120217001</v>
      </c>
      <c r="C16">
        <v>0.34233238795992799</v>
      </c>
      <c r="D16">
        <v>0</v>
      </c>
      <c r="E16">
        <f t="shared" si="0"/>
        <v>58.784825113381899</v>
      </c>
      <c r="F16">
        <f t="shared" si="1"/>
        <v>0</v>
      </c>
    </row>
    <row r="17" spans="1:6" x14ac:dyDescent="0.2">
      <c r="A17">
        <v>4</v>
      </c>
      <c r="B17">
        <v>174.437724725431</v>
      </c>
      <c r="C17">
        <v>0.21624081963720801</v>
      </c>
      <c r="D17">
        <v>0</v>
      </c>
      <c r="E17">
        <f t="shared" si="0"/>
        <v>37.720556570276862</v>
      </c>
      <c r="F17">
        <f t="shared" si="1"/>
        <v>0</v>
      </c>
    </row>
    <row r="18" spans="1:6" x14ac:dyDescent="0.2">
      <c r="A18">
        <v>4</v>
      </c>
      <c r="B18">
        <v>168.75759966141499</v>
      </c>
      <c r="C18">
        <v>0</v>
      </c>
      <c r="D18">
        <v>0</v>
      </c>
      <c r="E18">
        <f t="shared" si="0"/>
        <v>0</v>
      </c>
      <c r="F18">
        <f t="shared" si="1"/>
        <v>0</v>
      </c>
    </row>
    <row r="19" spans="1:6" x14ac:dyDescent="0.2">
      <c r="A19">
        <v>4</v>
      </c>
      <c r="B19">
        <v>176.706518783332</v>
      </c>
      <c r="C19">
        <v>0.37927792134697802</v>
      </c>
      <c r="D19">
        <v>0</v>
      </c>
      <c r="E19">
        <f t="shared" si="0"/>
        <v>67.020881132602895</v>
      </c>
      <c r="F19">
        <f t="shared" si="1"/>
        <v>0</v>
      </c>
    </row>
    <row r="20" spans="1:6" x14ac:dyDescent="0.2">
      <c r="A20">
        <v>4</v>
      </c>
      <c r="B20">
        <v>176.855346553831</v>
      </c>
      <c r="C20">
        <v>0</v>
      </c>
      <c r="D20">
        <v>0</v>
      </c>
      <c r="E20">
        <f t="shared" si="0"/>
        <v>0</v>
      </c>
      <c r="F20">
        <f t="shared" si="1"/>
        <v>0</v>
      </c>
    </row>
    <row r="21" spans="1:6" x14ac:dyDescent="0.2">
      <c r="A21">
        <v>4</v>
      </c>
      <c r="B21">
        <v>173.98324218404599</v>
      </c>
      <c r="C21">
        <v>0</v>
      </c>
      <c r="D21">
        <v>0</v>
      </c>
      <c r="E21">
        <f t="shared" si="0"/>
        <v>0</v>
      </c>
      <c r="F21">
        <f t="shared" si="1"/>
        <v>0</v>
      </c>
    </row>
    <row r="22" spans="1:6" x14ac:dyDescent="0.2">
      <c r="A22">
        <v>4</v>
      </c>
      <c r="B22">
        <v>173.05648883319</v>
      </c>
      <c r="C22">
        <v>0</v>
      </c>
      <c r="D22">
        <v>0</v>
      </c>
      <c r="E22">
        <f t="shared" si="0"/>
        <v>0</v>
      </c>
      <c r="F22">
        <f t="shared" si="1"/>
        <v>0</v>
      </c>
    </row>
    <row r="23" spans="1:6" x14ac:dyDescent="0.2">
      <c r="A23">
        <v>5</v>
      </c>
      <c r="B23">
        <v>180.27311728423001</v>
      </c>
      <c r="C23">
        <v>0.156810131101394</v>
      </c>
      <c r="D23">
        <v>0</v>
      </c>
      <c r="E23">
        <f t="shared" si="0"/>
        <v>28.268651155397084</v>
      </c>
      <c r="F23">
        <f t="shared" si="1"/>
        <v>0</v>
      </c>
    </row>
    <row r="24" spans="1:6" x14ac:dyDescent="0.2">
      <c r="A24">
        <v>5</v>
      </c>
      <c r="B24">
        <v>184.942881038335</v>
      </c>
      <c r="C24">
        <v>0.37204264034580298</v>
      </c>
      <c r="D24">
        <v>0</v>
      </c>
      <c r="E24">
        <f t="shared" si="0"/>
        <v>68.806637774661894</v>
      </c>
      <c r="F24">
        <f t="shared" si="1"/>
        <v>0</v>
      </c>
    </row>
    <row r="25" spans="1:6" x14ac:dyDescent="0.2">
      <c r="A25">
        <v>5</v>
      </c>
      <c r="B25">
        <v>186.88443906104001</v>
      </c>
      <c r="C25">
        <v>0</v>
      </c>
      <c r="D25">
        <v>0</v>
      </c>
      <c r="E25">
        <f t="shared" si="0"/>
        <v>0</v>
      </c>
      <c r="F25">
        <f t="shared" si="1"/>
        <v>0</v>
      </c>
    </row>
    <row r="26" spans="1:6" x14ac:dyDescent="0.2">
      <c r="A26">
        <v>5</v>
      </c>
      <c r="B26">
        <v>178.32852043867899</v>
      </c>
      <c r="C26">
        <v>0.26733747500191901</v>
      </c>
      <c r="D26">
        <v>0</v>
      </c>
      <c r="E26">
        <f t="shared" si="0"/>
        <v>47.673896374904551</v>
      </c>
      <c r="F26">
        <f t="shared" si="1"/>
        <v>0</v>
      </c>
    </row>
    <row r="27" spans="1:6" x14ac:dyDescent="0.2">
      <c r="A27">
        <v>5</v>
      </c>
      <c r="B27">
        <v>191.85490521548601</v>
      </c>
      <c r="C27">
        <v>0.27971887707804999</v>
      </c>
      <c r="D27">
        <v>0</v>
      </c>
      <c r="E27">
        <f t="shared" si="0"/>
        <v>53.665438648791465</v>
      </c>
      <c r="F27">
        <f t="shared" si="1"/>
        <v>0</v>
      </c>
    </row>
    <row r="28" spans="1:6" x14ac:dyDescent="0.2">
      <c r="A28">
        <v>5</v>
      </c>
      <c r="B28">
        <v>190.23578236209099</v>
      </c>
      <c r="C28">
        <v>0.19214979696473899</v>
      </c>
      <c r="D28">
        <v>0</v>
      </c>
      <c r="E28">
        <f t="shared" si="0"/>
        <v>36.553766956304059</v>
      </c>
      <c r="F28">
        <f t="shared" si="1"/>
        <v>0</v>
      </c>
    </row>
    <row r="29" spans="1:6" x14ac:dyDescent="0.2">
      <c r="A29">
        <v>5</v>
      </c>
      <c r="B29">
        <v>184.26490781344</v>
      </c>
      <c r="C29">
        <v>0</v>
      </c>
      <c r="D29">
        <v>0</v>
      </c>
      <c r="E29">
        <f t="shared" si="0"/>
        <v>0</v>
      </c>
      <c r="F29">
        <f t="shared" si="1"/>
        <v>0</v>
      </c>
    </row>
    <row r="30" spans="1:6" x14ac:dyDescent="0.2">
      <c r="A30">
        <v>5</v>
      </c>
      <c r="B30">
        <v>190.17114446740399</v>
      </c>
      <c r="C30">
        <v>0.330027307298706</v>
      </c>
      <c r="D30">
        <v>0</v>
      </c>
      <c r="E30">
        <f t="shared" si="0"/>
        <v>62.761670734490551</v>
      </c>
      <c r="F30">
        <f t="shared" si="1"/>
        <v>0</v>
      </c>
    </row>
    <row r="31" spans="1:6" x14ac:dyDescent="0.2">
      <c r="A31">
        <v>5</v>
      </c>
      <c r="B31">
        <v>181.737528456153</v>
      </c>
      <c r="C31">
        <v>0.198563041798172</v>
      </c>
      <c r="D31">
        <v>0</v>
      </c>
      <c r="E31">
        <f t="shared" si="0"/>
        <v>36.08635645913558</v>
      </c>
      <c r="F31">
        <f t="shared" si="1"/>
        <v>0</v>
      </c>
    </row>
    <row r="32" spans="1:6" x14ac:dyDescent="0.2">
      <c r="A32">
        <v>5</v>
      </c>
      <c r="B32">
        <v>175.980054257777</v>
      </c>
      <c r="C32">
        <v>0.34211438005734901</v>
      </c>
      <c r="D32">
        <v>0</v>
      </c>
      <c r="E32">
        <f t="shared" si="0"/>
        <v>60.20530716485802</v>
      </c>
      <c r="F32">
        <f t="shared" si="1"/>
        <v>0</v>
      </c>
    </row>
    <row r="33" spans="1:6" x14ac:dyDescent="0.2">
      <c r="A33">
        <v>5</v>
      </c>
      <c r="B33">
        <v>187.36537264981001</v>
      </c>
      <c r="C33">
        <v>0.15528157898966599</v>
      </c>
      <c r="D33">
        <v>0</v>
      </c>
      <c r="E33">
        <f t="shared" si="0"/>
        <v>29.094390913049679</v>
      </c>
      <c r="F33">
        <f t="shared" si="1"/>
        <v>0</v>
      </c>
    </row>
    <row r="34" spans="1:6" x14ac:dyDescent="0.2">
      <c r="A34">
        <v>5</v>
      </c>
      <c r="B34">
        <v>178.02629772945701</v>
      </c>
      <c r="C34">
        <v>0</v>
      </c>
      <c r="D34">
        <v>0</v>
      </c>
      <c r="E34">
        <f t="shared" si="0"/>
        <v>0</v>
      </c>
      <c r="F34">
        <f t="shared" si="1"/>
        <v>0</v>
      </c>
    </row>
    <row r="35" spans="1:6" x14ac:dyDescent="0.2">
      <c r="A35">
        <v>7</v>
      </c>
      <c r="B35">
        <v>203.722310530958</v>
      </c>
      <c r="C35">
        <v>0.79194757687712802</v>
      </c>
      <c r="D35">
        <v>0</v>
      </c>
      <c r="E35">
        <f t="shared" si="0"/>
        <v>161.337390180802</v>
      </c>
      <c r="F35">
        <f t="shared" si="1"/>
        <v>0</v>
      </c>
    </row>
    <row r="36" spans="1:6" x14ac:dyDescent="0.2">
      <c r="A36">
        <v>7</v>
      </c>
      <c r="B36">
        <v>224.99058337639701</v>
      </c>
      <c r="C36">
        <v>0.80137613173055899</v>
      </c>
      <c r="D36">
        <v>0</v>
      </c>
      <c r="E36">
        <f t="shared" si="0"/>
        <v>180.30208338197886</v>
      </c>
      <c r="F36">
        <f t="shared" si="1"/>
        <v>0</v>
      </c>
    </row>
    <row r="37" spans="1:6" x14ac:dyDescent="0.2">
      <c r="A37">
        <v>7</v>
      </c>
      <c r="B37">
        <v>214.96292131035301</v>
      </c>
      <c r="C37">
        <v>0.587569077799311</v>
      </c>
      <c r="D37">
        <v>0</v>
      </c>
      <c r="E37">
        <f t="shared" si="0"/>
        <v>126.30556543536997</v>
      </c>
      <c r="F37">
        <f t="shared" si="1"/>
        <v>0</v>
      </c>
    </row>
    <row r="38" spans="1:6" x14ac:dyDescent="0.2">
      <c r="A38">
        <v>7</v>
      </c>
      <c r="B38">
        <v>226.280850034031</v>
      </c>
      <c r="C38">
        <v>0.70716268961139905</v>
      </c>
      <c r="D38">
        <v>0</v>
      </c>
      <c r="E38">
        <f t="shared" si="0"/>
        <v>160.017374517619</v>
      </c>
      <c r="F38">
        <f t="shared" si="1"/>
        <v>0</v>
      </c>
    </row>
    <row r="39" spans="1:6" x14ac:dyDescent="0.2">
      <c r="A39">
        <v>7</v>
      </c>
      <c r="B39">
        <v>215.31265731459899</v>
      </c>
      <c r="C39">
        <v>0.76827077661170495</v>
      </c>
      <c r="D39">
        <v>0</v>
      </c>
      <c r="E39">
        <f t="shared" si="0"/>
        <v>165.41842244941685</v>
      </c>
      <c r="F39">
        <f t="shared" si="1"/>
        <v>0</v>
      </c>
    </row>
    <row r="40" spans="1:6" x14ac:dyDescent="0.2">
      <c r="A40">
        <v>7</v>
      </c>
      <c r="B40">
        <v>221.12576232198899</v>
      </c>
      <c r="C40">
        <v>0.44912351870192002</v>
      </c>
      <c r="D40">
        <v>0</v>
      </c>
      <c r="E40">
        <f t="shared" si="0"/>
        <v>99.312780449696149</v>
      </c>
      <c r="F40">
        <f t="shared" si="1"/>
        <v>0</v>
      </c>
    </row>
    <row r="41" spans="1:6" x14ac:dyDescent="0.2">
      <c r="A41">
        <v>7</v>
      </c>
      <c r="B41">
        <v>221.501292081815</v>
      </c>
      <c r="C41">
        <v>0.52202196667552503</v>
      </c>
      <c r="D41">
        <v>0</v>
      </c>
      <c r="E41">
        <f t="shared" si="0"/>
        <v>115.62854011371897</v>
      </c>
      <c r="F41">
        <f t="shared" si="1"/>
        <v>0</v>
      </c>
    </row>
    <row r="42" spans="1:6" x14ac:dyDescent="0.2">
      <c r="A42">
        <v>7</v>
      </c>
      <c r="B42">
        <v>223.014728896017</v>
      </c>
      <c r="C42">
        <v>0.63342446819861997</v>
      </c>
      <c r="D42">
        <v>0</v>
      </c>
      <c r="E42">
        <f t="shared" si="0"/>
        <v>141.26298605141898</v>
      </c>
      <c r="F42">
        <f t="shared" si="1"/>
        <v>0</v>
      </c>
    </row>
    <row r="43" spans="1:6" x14ac:dyDescent="0.2">
      <c r="A43">
        <v>7</v>
      </c>
      <c r="B43">
        <v>219.68103094720601</v>
      </c>
      <c r="C43">
        <v>0.667988226091763</v>
      </c>
      <c r="D43">
        <v>0</v>
      </c>
      <c r="E43">
        <f t="shared" si="0"/>
        <v>146.74434216843383</v>
      </c>
      <c r="F43">
        <f t="shared" si="1"/>
        <v>0</v>
      </c>
    </row>
    <row r="44" spans="1:6" x14ac:dyDescent="0.2">
      <c r="A44">
        <v>7</v>
      </c>
      <c r="B44">
        <v>219.193598544797</v>
      </c>
      <c r="C44">
        <v>0.39291122254838901</v>
      </c>
      <c r="D44">
        <v>0</v>
      </c>
      <c r="E44">
        <f t="shared" si="0"/>
        <v>86.123624779016964</v>
      </c>
      <c r="F44">
        <f t="shared" si="1"/>
        <v>0</v>
      </c>
    </row>
    <row r="45" spans="1:6" x14ac:dyDescent="0.2">
      <c r="A45">
        <v>7</v>
      </c>
      <c r="B45">
        <v>220.86429285642799</v>
      </c>
      <c r="C45">
        <v>0.51176881289561604</v>
      </c>
      <c r="D45">
        <v>0</v>
      </c>
      <c r="E45">
        <f t="shared" si="0"/>
        <v>113.03145696616384</v>
      </c>
      <c r="F45">
        <f t="shared" si="1"/>
        <v>0</v>
      </c>
    </row>
    <row r="46" spans="1:6" x14ac:dyDescent="0.2">
      <c r="A46">
        <v>7</v>
      </c>
      <c r="B46">
        <v>202.813849356731</v>
      </c>
      <c r="C46">
        <v>0</v>
      </c>
      <c r="D46">
        <v>0</v>
      </c>
      <c r="E46">
        <f t="shared" si="0"/>
        <v>0</v>
      </c>
      <c r="F46">
        <f t="shared" si="1"/>
        <v>0</v>
      </c>
    </row>
    <row r="47" spans="1:6" x14ac:dyDescent="0.2">
      <c r="A47">
        <v>7</v>
      </c>
      <c r="B47">
        <v>235.89030205869801</v>
      </c>
      <c r="C47">
        <v>0</v>
      </c>
      <c r="D47">
        <v>0</v>
      </c>
      <c r="E47">
        <f t="shared" si="0"/>
        <v>0</v>
      </c>
      <c r="F47">
        <f t="shared" si="1"/>
        <v>0</v>
      </c>
    </row>
    <row r="48" spans="1:6" x14ac:dyDescent="0.2">
      <c r="A48">
        <v>7</v>
      </c>
      <c r="B48">
        <v>236.42339757896201</v>
      </c>
      <c r="C48">
        <v>0.455401828296366</v>
      </c>
      <c r="D48">
        <v>0</v>
      </c>
      <c r="E48">
        <f t="shared" si="0"/>
        <v>107.66764750949793</v>
      </c>
      <c r="F48">
        <f t="shared" si="1"/>
        <v>0</v>
      </c>
    </row>
    <row r="49" spans="1:6" x14ac:dyDescent="0.2">
      <c r="A49">
        <v>7</v>
      </c>
      <c r="B49">
        <v>231.969647520736</v>
      </c>
      <c r="C49">
        <v>0.37703753137121798</v>
      </c>
      <c r="D49">
        <v>0</v>
      </c>
      <c r="E49">
        <f t="shared" si="0"/>
        <v>87.46126325426988</v>
      </c>
      <c r="F49">
        <f t="shared" si="1"/>
        <v>0</v>
      </c>
    </row>
    <row r="50" spans="1:6" x14ac:dyDescent="0.2">
      <c r="A50">
        <v>7</v>
      </c>
      <c r="B50">
        <v>228.86427170615701</v>
      </c>
      <c r="C50">
        <v>0.69392215296662796</v>
      </c>
      <c r="D50">
        <v>0</v>
      </c>
      <c r="E50">
        <f t="shared" si="0"/>
        <v>158.8139881594758</v>
      </c>
      <c r="F50">
        <f t="shared" si="1"/>
        <v>0</v>
      </c>
    </row>
    <row r="51" spans="1:6" x14ac:dyDescent="0.2">
      <c r="A51">
        <v>7</v>
      </c>
      <c r="B51">
        <v>231.31470506092199</v>
      </c>
      <c r="C51">
        <v>0.25187052675948002</v>
      </c>
      <c r="D51">
        <v>0</v>
      </c>
      <c r="E51">
        <f t="shared" si="0"/>
        <v>58.26135661090818</v>
      </c>
      <c r="F51">
        <f t="shared" si="1"/>
        <v>0</v>
      </c>
    </row>
    <row r="52" spans="1:6" x14ac:dyDescent="0.2">
      <c r="A52">
        <v>7</v>
      </c>
      <c r="B52">
        <v>229.56584044057999</v>
      </c>
      <c r="C52">
        <v>0.69574154691720702</v>
      </c>
      <c r="D52">
        <v>0</v>
      </c>
      <c r="E52">
        <f t="shared" si="0"/>
        <v>159.71849294747784</v>
      </c>
      <c r="F52">
        <f t="shared" si="1"/>
        <v>0</v>
      </c>
    </row>
    <row r="53" spans="1:6" x14ac:dyDescent="0.2">
      <c r="A53">
        <v>7</v>
      </c>
      <c r="B53">
        <v>234.555407385813</v>
      </c>
      <c r="C53">
        <v>0.42733839758433401</v>
      </c>
      <c r="D53">
        <v>0</v>
      </c>
      <c r="E53">
        <f t="shared" si="0"/>
        <v>100.23453193699399</v>
      </c>
      <c r="F53">
        <f t="shared" si="1"/>
        <v>0</v>
      </c>
    </row>
    <row r="54" spans="1:6" x14ac:dyDescent="0.2">
      <c r="A54">
        <v>7</v>
      </c>
      <c r="B54">
        <v>212.211492480668</v>
      </c>
      <c r="C54">
        <v>0.29012074050121001</v>
      </c>
      <c r="D54">
        <v>0</v>
      </c>
      <c r="E54">
        <f t="shared" si="0"/>
        <v>61.566955341358359</v>
      </c>
      <c r="F54">
        <f t="shared" si="1"/>
        <v>0</v>
      </c>
    </row>
    <row r="55" spans="1:6" x14ac:dyDescent="0.2">
      <c r="A55">
        <v>10</v>
      </c>
      <c r="B55">
        <v>258.86502307233201</v>
      </c>
      <c r="C55">
        <v>0.75983766534680997</v>
      </c>
      <c r="D55">
        <v>0.36178119598693997</v>
      </c>
      <c r="E55">
        <f t="shared" si="0"/>
        <v>196.69539477122885</v>
      </c>
      <c r="F55">
        <f t="shared" si="1"/>
        <v>93.652497646295089</v>
      </c>
    </row>
    <row r="56" spans="1:6" x14ac:dyDescent="0.2">
      <c r="A56">
        <v>10</v>
      </c>
      <c r="B56">
        <v>261.53556862636202</v>
      </c>
      <c r="C56">
        <v>0.79011868770568305</v>
      </c>
      <c r="D56">
        <v>0.34270852579775102</v>
      </c>
      <c r="E56">
        <f t="shared" si="0"/>
        <v>206.64414027142078</v>
      </c>
      <c r="F56">
        <f t="shared" si="1"/>
        <v>89.630469167617065</v>
      </c>
    </row>
    <row r="57" spans="1:6" x14ac:dyDescent="0.2">
      <c r="A57">
        <v>10</v>
      </c>
      <c r="B57">
        <v>262.75962171106698</v>
      </c>
      <c r="C57">
        <v>0.72753812219640301</v>
      </c>
      <c r="D57">
        <v>0.32832280102969602</v>
      </c>
      <c r="E57">
        <f t="shared" si="0"/>
        <v>191.16764176870689</v>
      </c>
      <c r="F57">
        <f t="shared" si="1"/>
        <v>86.269974997680833</v>
      </c>
    </row>
    <row r="58" spans="1:6" x14ac:dyDescent="0.2">
      <c r="A58">
        <v>10</v>
      </c>
      <c r="B58">
        <v>261.52710698930798</v>
      </c>
      <c r="C58">
        <v>0.77170780125969896</v>
      </c>
      <c r="D58">
        <v>0.35379607481761599</v>
      </c>
      <c r="E58">
        <f t="shared" si="0"/>
        <v>201.8225087045289</v>
      </c>
      <c r="F58">
        <f t="shared" si="1"/>
        <v>92.527263911223869</v>
      </c>
    </row>
    <row r="59" spans="1:6" x14ac:dyDescent="0.2">
      <c r="A59">
        <v>10</v>
      </c>
      <c r="B59">
        <v>255.27625018110299</v>
      </c>
      <c r="C59">
        <v>0.78667193493848397</v>
      </c>
      <c r="D59">
        <v>0.33262446762771603</v>
      </c>
      <c r="E59">
        <f t="shared" si="0"/>
        <v>200.8186616738088</v>
      </c>
      <c r="F59">
        <f t="shared" si="1"/>
        <v>84.911126814489023</v>
      </c>
    </row>
    <row r="60" spans="1:6" x14ac:dyDescent="0.2">
      <c r="A60">
        <v>10</v>
      </c>
      <c r="B60">
        <v>287.47716802516999</v>
      </c>
      <c r="C60">
        <v>0.79950410468787703</v>
      </c>
      <c r="D60">
        <v>0.35416403046483202</v>
      </c>
      <c r="E60">
        <f t="shared" si="0"/>
        <v>229.83917584016993</v>
      </c>
      <c r="F60">
        <f t="shared" si="1"/>
        <v>101.81407249440994</v>
      </c>
    </row>
    <row r="61" spans="1:6" x14ac:dyDescent="0.2">
      <c r="A61">
        <v>10</v>
      </c>
      <c r="B61">
        <v>270.769524432418</v>
      </c>
      <c r="C61">
        <v>0.80398914486775996</v>
      </c>
      <c r="D61">
        <v>0.36596490024787198</v>
      </c>
      <c r="E61">
        <f t="shared" si="0"/>
        <v>217.69575840466979</v>
      </c>
      <c r="F61">
        <f t="shared" si="1"/>
        <v>99.09214199907359</v>
      </c>
    </row>
    <row r="62" spans="1:6" x14ac:dyDescent="0.2">
      <c r="A62">
        <v>10</v>
      </c>
      <c r="B62">
        <v>257.61673932581601</v>
      </c>
      <c r="C62">
        <v>0.79984171797460202</v>
      </c>
      <c r="D62">
        <v>0.328803456439765</v>
      </c>
      <c r="E62">
        <f t="shared" si="0"/>
        <v>206.0526153613759</v>
      </c>
      <c r="F62">
        <f t="shared" si="1"/>
        <v>84.705274327070242</v>
      </c>
    </row>
    <row r="63" spans="1:6" x14ac:dyDescent="0.2">
      <c r="A63">
        <v>10</v>
      </c>
      <c r="B63">
        <v>292.82035033150601</v>
      </c>
      <c r="C63">
        <v>0.84906679593031797</v>
      </c>
      <c r="D63">
        <v>0.34670209781342698</v>
      </c>
      <c r="E63">
        <f t="shared" si="0"/>
        <v>248.62403663916504</v>
      </c>
      <c r="F63">
        <f t="shared" si="1"/>
        <v>101.52142974239575</v>
      </c>
    </row>
    <row r="64" spans="1:6" x14ac:dyDescent="0.2">
      <c r="A64">
        <v>10</v>
      </c>
      <c r="B64">
        <v>291.81600254889901</v>
      </c>
      <c r="C64">
        <v>0.743704418473632</v>
      </c>
      <c r="D64">
        <v>0.38289473524926998</v>
      </c>
      <c r="E64">
        <f t="shared" si="0"/>
        <v>217.02485047692886</v>
      </c>
      <c r="F64">
        <f t="shared" si="1"/>
        <v>111.73481103746099</v>
      </c>
    </row>
    <row r="65" spans="1:6" x14ac:dyDescent="0.2">
      <c r="A65">
        <v>10</v>
      </c>
      <c r="B65">
        <v>293.89322612448399</v>
      </c>
      <c r="C65">
        <v>0.88761361801743699</v>
      </c>
      <c r="D65">
        <v>0.39655649580158397</v>
      </c>
      <c r="E65">
        <f t="shared" si="0"/>
        <v>260.86362975116998</v>
      </c>
      <c r="F65">
        <f t="shared" si="1"/>
        <v>116.5452678917479</v>
      </c>
    </row>
    <row r="66" spans="1:6" x14ac:dyDescent="0.2">
      <c r="A66">
        <v>10</v>
      </c>
      <c r="B66">
        <v>292.22185825042402</v>
      </c>
      <c r="C66">
        <v>0.86309071681841898</v>
      </c>
      <c r="D66">
        <v>0.376006937093319</v>
      </c>
      <c r="E66">
        <f t="shared" si="0"/>
        <v>252.2139731073689</v>
      </c>
      <c r="F66">
        <f t="shared" si="1"/>
        <v>109.87744587245997</v>
      </c>
    </row>
    <row r="67" spans="1:6" x14ac:dyDescent="0.2">
      <c r="A67">
        <v>10</v>
      </c>
      <c r="B67">
        <v>280.35209463240398</v>
      </c>
      <c r="C67">
        <v>0.800814106633567</v>
      </c>
      <c r="D67">
        <v>0.33803764049441198</v>
      </c>
      <c r="E67">
        <f t="shared" si="0"/>
        <v>224.50991220589782</v>
      </c>
      <c r="F67">
        <f t="shared" si="1"/>
        <v>94.769560577203947</v>
      </c>
    </row>
    <row r="68" spans="1:6" x14ac:dyDescent="0.2">
      <c r="A68">
        <v>10</v>
      </c>
      <c r="B68">
        <v>252.93646284295701</v>
      </c>
      <c r="C68">
        <v>0.734408246050826</v>
      </c>
      <c r="D68">
        <v>0.28969627530595798</v>
      </c>
      <c r="E68">
        <f t="shared" si="0"/>
        <v>185.75862403879597</v>
      </c>
      <c r="F68">
        <f t="shared" si="1"/>
        <v>73.274751174668481</v>
      </c>
    </row>
    <row r="69" spans="1:6" x14ac:dyDescent="0.2">
      <c r="A69">
        <v>10</v>
      </c>
      <c r="B69">
        <v>260.36054118667897</v>
      </c>
      <c r="C69">
        <v>0.75710051201017103</v>
      </c>
      <c r="D69">
        <v>0.30476389438094298</v>
      </c>
      <c r="E69">
        <f t="shared" si="0"/>
        <v>197.11909903967987</v>
      </c>
      <c r="F69">
        <f t="shared" si="1"/>
        <v>79.348492475182184</v>
      </c>
    </row>
    <row r="70" spans="1:6" x14ac:dyDescent="0.2">
      <c r="A70">
        <v>10</v>
      </c>
      <c r="B70">
        <v>263.98545062035402</v>
      </c>
      <c r="C70">
        <v>0.708146909490042</v>
      </c>
      <c r="D70">
        <v>0.34594171633139997</v>
      </c>
      <c r="E70">
        <f t="shared" ref="E70:E133" si="2">C70*B70</f>
        <v>186.94048100713979</v>
      </c>
      <c r="F70">
        <f t="shared" ref="F70:F133" si="3">D70*B70</f>
        <v>91.323579874123297</v>
      </c>
    </row>
    <row r="71" spans="1:6" x14ac:dyDescent="0.2">
      <c r="A71">
        <v>12</v>
      </c>
      <c r="B71">
        <v>280.05987967509901</v>
      </c>
      <c r="C71">
        <v>0.852866173198364</v>
      </c>
      <c r="D71">
        <v>0.39876322205820602</v>
      </c>
      <c r="E71">
        <f t="shared" si="2"/>
        <v>238.85359784489597</v>
      </c>
      <c r="F71">
        <f t="shared" si="3"/>
        <v>111.67757998847597</v>
      </c>
    </row>
    <row r="72" spans="1:6" x14ac:dyDescent="0.2">
      <c r="A72">
        <v>12</v>
      </c>
      <c r="B72">
        <v>283.51189459187401</v>
      </c>
      <c r="C72">
        <v>0.88120682245743598</v>
      </c>
      <c r="D72">
        <v>0.46445807577610199</v>
      </c>
      <c r="E72">
        <f t="shared" si="2"/>
        <v>249.83261576219283</v>
      </c>
      <c r="F72">
        <f t="shared" si="3"/>
        <v>131.67938902177886</v>
      </c>
    </row>
    <row r="73" spans="1:6" x14ac:dyDescent="0.2">
      <c r="A73">
        <v>12</v>
      </c>
      <c r="B73">
        <v>275.72243248201602</v>
      </c>
      <c r="C73">
        <v>0.82998163127110203</v>
      </c>
      <c r="D73">
        <v>0.47421531619919299</v>
      </c>
      <c r="E73">
        <f t="shared" si="2"/>
        <v>228.84455428945995</v>
      </c>
      <c r="F73">
        <f t="shared" si="3"/>
        <v>130.75180050266988</v>
      </c>
    </row>
    <row r="74" spans="1:6" x14ac:dyDescent="0.2">
      <c r="A74">
        <v>12</v>
      </c>
      <c r="B74">
        <v>288.25872996039197</v>
      </c>
      <c r="C74">
        <v>0.82627850737712305</v>
      </c>
      <c r="D74">
        <v>0.46107815613041903</v>
      </c>
      <c r="E74">
        <f t="shared" si="2"/>
        <v>238.18199313009785</v>
      </c>
      <c r="F74">
        <f t="shared" si="3"/>
        <v>132.90980369863391</v>
      </c>
    </row>
    <row r="75" spans="1:6" x14ac:dyDescent="0.2">
      <c r="A75">
        <v>12</v>
      </c>
      <c r="B75">
        <v>303.64900467378499</v>
      </c>
      <c r="C75">
        <v>0.834020792691061</v>
      </c>
      <c r="D75">
        <v>0.522877851956424</v>
      </c>
      <c r="E75">
        <f t="shared" si="2"/>
        <v>253.24958357788185</v>
      </c>
      <c r="F75">
        <f t="shared" si="3"/>
        <v>158.77133931253485</v>
      </c>
    </row>
    <row r="76" spans="1:6" x14ac:dyDescent="0.2">
      <c r="A76">
        <v>12</v>
      </c>
      <c r="B76">
        <v>281.86358852488303</v>
      </c>
      <c r="C76">
        <v>0.84770129294844498</v>
      </c>
      <c r="D76">
        <v>0.44572735290829102</v>
      </c>
      <c r="E76">
        <f t="shared" si="2"/>
        <v>238.93612842763181</v>
      </c>
      <c r="F76">
        <f t="shared" si="3"/>
        <v>125.63431119442787</v>
      </c>
    </row>
    <row r="77" spans="1:6" x14ac:dyDescent="0.2">
      <c r="A77">
        <v>12</v>
      </c>
      <c r="B77">
        <v>255.50731825198901</v>
      </c>
      <c r="C77">
        <v>0.78350881781972004</v>
      </c>
      <c r="D77">
        <v>0.38984951497888998</v>
      </c>
      <c r="E77">
        <f t="shared" si="2"/>
        <v>200.19223686790289</v>
      </c>
      <c r="F77">
        <f t="shared" si="3"/>
        <v>99.609404094094799</v>
      </c>
    </row>
    <row r="78" spans="1:6" x14ac:dyDescent="0.2">
      <c r="A78">
        <v>12</v>
      </c>
      <c r="B78">
        <v>276.97700481243101</v>
      </c>
      <c r="C78">
        <v>0.814500669384016</v>
      </c>
      <c r="D78">
        <v>0.46702288220427501</v>
      </c>
      <c r="E78">
        <f t="shared" si="2"/>
        <v>225.59795582370486</v>
      </c>
      <c r="F78">
        <f t="shared" si="3"/>
        <v>129.35459909180886</v>
      </c>
    </row>
    <row r="79" spans="1:6" x14ac:dyDescent="0.2">
      <c r="A79">
        <v>12</v>
      </c>
      <c r="B79">
        <v>266.673873260991</v>
      </c>
      <c r="C79">
        <v>0.82875296306394697</v>
      </c>
      <c r="D79">
        <v>0.46365903840126099</v>
      </c>
      <c r="E79">
        <f t="shared" si="2"/>
        <v>221.00676263678574</v>
      </c>
      <c r="F79">
        <f t="shared" si="3"/>
        <v>123.64575164293083</v>
      </c>
    </row>
    <row r="80" spans="1:6" x14ac:dyDescent="0.2">
      <c r="A80">
        <v>12</v>
      </c>
      <c r="B80">
        <v>272.01620625335602</v>
      </c>
      <c r="C80">
        <v>0.83376308620373096</v>
      </c>
      <c r="D80">
        <v>0.45579401843144901</v>
      </c>
      <c r="E80">
        <f t="shared" si="2"/>
        <v>226.79707162322873</v>
      </c>
      <c r="F80">
        <f t="shared" si="3"/>
        <v>123.98335972669499</v>
      </c>
    </row>
    <row r="81" spans="1:6" x14ac:dyDescent="0.2">
      <c r="A81">
        <v>12</v>
      </c>
      <c r="B81">
        <v>278.69657010550799</v>
      </c>
      <c r="C81">
        <v>0.84415199440562205</v>
      </c>
      <c r="D81">
        <v>0.443700052954764</v>
      </c>
      <c r="E81">
        <f t="shared" si="2"/>
        <v>235.26226548857085</v>
      </c>
      <c r="F81">
        <f t="shared" si="3"/>
        <v>123.65768291412499</v>
      </c>
    </row>
    <row r="82" spans="1:6" x14ac:dyDescent="0.2">
      <c r="A82">
        <v>12</v>
      </c>
      <c r="B82">
        <v>282.67807003706599</v>
      </c>
      <c r="C82">
        <v>0.78538432765535304</v>
      </c>
      <c r="D82">
        <v>0.44040905099145</v>
      </c>
      <c r="E82">
        <f t="shared" si="2"/>
        <v>222.01092597897389</v>
      </c>
      <c r="F82">
        <f t="shared" si="3"/>
        <v>124.49398056111887</v>
      </c>
    </row>
    <row r="83" spans="1:6" x14ac:dyDescent="0.2">
      <c r="A83">
        <v>12</v>
      </c>
      <c r="B83">
        <v>285.39718568070401</v>
      </c>
      <c r="C83">
        <v>0.80593449765430902</v>
      </c>
      <c r="D83">
        <v>0.45699179448807398</v>
      </c>
      <c r="E83">
        <f t="shared" si="2"/>
        <v>230.01143747353174</v>
      </c>
      <c r="F83">
        <f t="shared" si="3"/>
        <v>130.42417202607098</v>
      </c>
    </row>
    <row r="84" spans="1:6" x14ac:dyDescent="0.2">
      <c r="A84">
        <v>12</v>
      </c>
      <c r="B84">
        <v>271.15156691334602</v>
      </c>
      <c r="C84">
        <v>0.78836517538760797</v>
      </c>
      <c r="D84">
        <v>0.45625896952023698</v>
      </c>
      <c r="E84">
        <f t="shared" si="2"/>
        <v>213.76645260626475</v>
      </c>
      <c r="F84">
        <f t="shared" si="3"/>
        <v>123.71533450368084</v>
      </c>
    </row>
    <row r="85" spans="1:6" x14ac:dyDescent="0.2">
      <c r="A85">
        <v>12</v>
      </c>
      <c r="B85">
        <v>266.86374826090997</v>
      </c>
      <c r="C85">
        <v>0.75332985931881102</v>
      </c>
      <c r="D85">
        <v>0.43388244861351699</v>
      </c>
      <c r="E85">
        <f t="shared" si="2"/>
        <v>201.03642993468191</v>
      </c>
      <c r="F85">
        <f t="shared" si="3"/>
        <v>115.7874965416248</v>
      </c>
    </row>
    <row r="86" spans="1:6" x14ac:dyDescent="0.2">
      <c r="A86">
        <v>12</v>
      </c>
      <c r="B86">
        <v>274.53378713253898</v>
      </c>
      <c r="C86">
        <v>0.79550671743901302</v>
      </c>
      <c r="D86">
        <v>0.43056419248676397</v>
      </c>
      <c r="E86">
        <f t="shared" si="2"/>
        <v>218.39347182790684</v>
      </c>
      <c r="F86">
        <f t="shared" si="3"/>
        <v>118.2044183670548</v>
      </c>
    </row>
    <row r="87" spans="1:6" x14ac:dyDescent="0.2">
      <c r="A87">
        <v>14</v>
      </c>
      <c r="B87">
        <v>293.34973495563997</v>
      </c>
      <c r="C87">
        <v>0.85388564515599197</v>
      </c>
      <c r="D87">
        <v>0.52758543521046797</v>
      </c>
      <c r="E87">
        <f t="shared" si="2"/>
        <v>250.48712768893589</v>
      </c>
      <c r="F87">
        <f t="shared" si="3"/>
        <v>154.76704758544673</v>
      </c>
    </row>
    <row r="88" spans="1:6" x14ac:dyDescent="0.2">
      <c r="A88">
        <v>14</v>
      </c>
      <c r="B88">
        <v>302.25623857370101</v>
      </c>
      <c r="C88">
        <v>0.81406102715940998</v>
      </c>
      <c r="D88">
        <v>0.53710292348997701</v>
      </c>
      <c r="E88">
        <f t="shared" si="2"/>
        <v>246.05502403864674</v>
      </c>
      <c r="F88">
        <f t="shared" si="3"/>
        <v>162.34270938101878</v>
      </c>
    </row>
    <row r="89" spans="1:6" x14ac:dyDescent="0.2">
      <c r="A89">
        <v>14</v>
      </c>
      <c r="B89">
        <v>298.88580535022197</v>
      </c>
      <c r="C89">
        <v>0.86962586523786201</v>
      </c>
      <c r="D89">
        <v>0.51027946046296402</v>
      </c>
      <c r="E89">
        <f t="shared" si="2"/>
        <v>259.91882708500196</v>
      </c>
      <c r="F89">
        <f t="shared" si="3"/>
        <v>152.51528749414976</v>
      </c>
    </row>
    <row r="90" spans="1:6" x14ac:dyDescent="0.2">
      <c r="A90">
        <v>14</v>
      </c>
      <c r="B90">
        <v>305.016870875557</v>
      </c>
      <c r="C90">
        <v>0.86813380703423504</v>
      </c>
      <c r="D90">
        <v>0.54745758264196498</v>
      </c>
      <c r="E90">
        <f t="shared" si="2"/>
        <v>264.79545732286698</v>
      </c>
      <c r="F90">
        <f t="shared" si="3"/>
        <v>166.98379879454882</v>
      </c>
    </row>
    <row r="91" spans="1:6" x14ac:dyDescent="0.2">
      <c r="A91">
        <v>14</v>
      </c>
      <c r="B91">
        <v>302.986697124491</v>
      </c>
      <c r="C91">
        <v>0.83002256306191702</v>
      </c>
      <c r="D91">
        <v>0.53414079734681597</v>
      </c>
      <c r="E91">
        <f t="shared" si="2"/>
        <v>251.48579492093478</v>
      </c>
      <c r="F91">
        <f t="shared" si="3"/>
        <v>161.83755598755386</v>
      </c>
    </row>
    <row r="92" spans="1:6" x14ac:dyDescent="0.2">
      <c r="A92">
        <v>14</v>
      </c>
      <c r="B92">
        <v>299.92058941041699</v>
      </c>
      <c r="C92">
        <v>0.85753974176848202</v>
      </c>
      <c r="D92">
        <v>0.52279986816669299</v>
      </c>
      <c r="E92">
        <f t="shared" si="2"/>
        <v>257.19382479405994</v>
      </c>
      <c r="F92">
        <f t="shared" si="3"/>
        <v>156.79844460424286</v>
      </c>
    </row>
    <row r="93" spans="1:6" x14ac:dyDescent="0.2">
      <c r="A93">
        <v>14</v>
      </c>
      <c r="B93">
        <v>300.46856207722402</v>
      </c>
      <c r="C93">
        <v>0.79720245796987499</v>
      </c>
      <c r="D93">
        <v>0.50697944356929003</v>
      </c>
      <c r="E93">
        <f t="shared" si="2"/>
        <v>239.53427623063695</v>
      </c>
      <c r="F93">
        <f t="shared" si="3"/>
        <v>152.33138441197571</v>
      </c>
    </row>
    <row r="94" spans="1:6" x14ac:dyDescent="0.2">
      <c r="A94">
        <v>14</v>
      </c>
      <c r="B94">
        <v>322.89170139983599</v>
      </c>
      <c r="C94">
        <v>0.87421963889300602</v>
      </c>
      <c r="D94">
        <v>0.50926993558109601</v>
      </c>
      <c r="E94">
        <f t="shared" si="2"/>
        <v>282.27826659931293</v>
      </c>
      <c r="F94">
        <f t="shared" si="3"/>
        <v>164.43903597156498</v>
      </c>
    </row>
    <row r="95" spans="1:6" x14ac:dyDescent="0.2">
      <c r="A95">
        <v>14</v>
      </c>
      <c r="B95">
        <v>338.835611266493</v>
      </c>
      <c r="C95">
        <v>0.86775458427026797</v>
      </c>
      <c r="D95">
        <v>0.57637383877285597</v>
      </c>
      <c r="E95">
        <f t="shared" si="2"/>
        <v>294.02615499051774</v>
      </c>
      <c r="F95">
        <f t="shared" si="3"/>
        <v>195.29598197861574</v>
      </c>
    </row>
    <row r="96" spans="1:6" x14ac:dyDescent="0.2">
      <c r="A96">
        <v>14</v>
      </c>
      <c r="B96">
        <v>342.67090710755298</v>
      </c>
      <c r="C96">
        <v>0.85417874626298396</v>
      </c>
      <c r="D96">
        <v>0.55625623864935803</v>
      </c>
      <c r="E96">
        <f t="shared" si="2"/>
        <v>292.70220581392903</v>
      </c>
      <c r="F96">
        <f t="shared" si="3"/>
        <v>190.61282988221097</v>
      </c>
    </row>
    <row r="97" spans="1:6" x14ac:dyDescent="0.2">
      <c r="A97">
        <v>14</v>
      </c>
      <c r="B97">
        <v>306.21165228334002</v>
      </c>
      <c r="C97">
        <v>0.88358922361143799</v>
      </c>
      <c r="D97">
        <v>0.62854090629283799</v>
      </c>
      <c r="E97">
        <f t="shared" si="2"/>
        <v>270.56531610181202</v>
      </c>
      <c r="F97">
        <f t="shared" si="3"/>
        <v>192.4665494435979</v>
      </c>
    </row>
    <row r="98" spans="1:6" x14ac:dyDescent="0.2">
      <c r="A98">
        <v>14</v>
      </c>
      <c r="B98">
        <v>334.09789021723901</v>
      </c>
      <c r="C98">
        <v>0.90867058706798198</v>
      </c>
      <c r="D98">
        <v>0.55820735215234496</v>
      </c>
      <c r="E98">
        <f t="shared" si="2"/>
        <v>303.58492604187279</v>
      </c>
      <c r="F98">
        <f t="shared" si="3"/>
        <v>186.49589865784984</v>
      </c>
    </row>
    <row r="99" spans="1:6" x14ac:dyDescent="0.2">
      <c r="A99">
        <v>14</v>
      </c>
      <c r="B99">
        <v>323.48817860001498</v>
      </c>
      <c r="C99">
        <v>0.82440506882585796</v>
      </c>
      <c r="D99">
        <v>0.50450761970753899</v>
      </c>
      <c r="E99">
        <f t="shared" si="2"/>
        <v>266.68529414309677</v>
      </c>
      <c r="F99">
        <f t="shared" si="3"/>
        <v>163.2022509890208</v>
      </c>
    </row>
    <row r="100" spans="1:6" x14ac:dyDescent="0.2">
      <c r="A100">
        <v>16</v>
      </c>
      <c r="B100">
        <v>327.65337724648901</v>
      </c>
      <c r="C100">
        <v>0.82911573712236997</v>
      </c>
      <c r="D100">
        <v>0.60583952039516198</v>
      </c>
      <c r="E100">
        <f t="shared" si="2"/>
        <v>271.66257139635673</v>
      </c>
      <c r="F100">
        <f t="shared" si="3"/>
        <v>198.505364926868</v>
      </c>
    </row>
    <row r="101" spans="1:6" x14ac:dyDescent="0.2">
      <c r="A101">
        <v>16</v>
      </c>
      <c r="B101">
        <v>328.86685694087299</v>
      </c>
      <c r="C101">
        <v>0.84482911052794596</v>
      </c>
      <c r="D101">
        <v>0.57227441903815701</v>
      </c>
      <c r="E101">
        <f t="shared" si="2"/>
        <v>277.83629423147897</v>
      </c>
      <c r="F101">
        <f t="shared" si="3"/>
        <v>188.20208949674279</v>
      </c>
    </row>
    <row r="102" spans="1:6" x14ac:dyDescent="0.2">
      <c r="A102">
        <v>16</v>
      </c>
      <c r="B102">
        <v>305.66351775585298</v>
      </c>
      <c r="C102">
        <v>0.88001801199880403</v>
      </c>
      <c r="D102">
        <v>0.58071970453754596</v>
      </c>
      <c r="E102">
        <f t="shared" si="2"/>
        <v>268.9894012360669</v>
      </c>
      <c r="F102">
        <f t="shared" si="3"/>
        <v>177.50482771908588</v>
      </c>
    </row>
    <row r="103" spans="1:6" x14ac:dyDescent="0.2">
      <c r="A103">
        <v>16</v>
      </c>
      <c r="B103">
        <v>329.22928182659098</v>
      </c>
      <c r="C103">
        <v>0.87780521873482997</v>
      </c>
      <c r="D103">
        <v>0.57293271349886998</v>
      </c>
      <c r="E103">
        <f t="shared" si="2"/>
        <v>288.9991817477017</v>
      </c>
      <c r="F103">
        <f t="shared" si="3"/>
        <v>188.62622580019297</v>
      </c>
    </row>
    <row r="104" spans="1:6" x14ac:dyDescent="0.2">
      <c r="A104">
        <v>16</v>
      </c>
      <c r="B104">
        <v>336.34900747594901</v>
      </c>
      <c r="C104">
        <v>0.91059454363048897</v>
      </c>
      <c r="D104">
        <v>0.61152623620517599</v>
      </c>
      <c r="E104">
        <f t="shared" si="2"/>
        <v>306.27757096312973</v>
      </c>
      <c r="F104">
        <f t="shared" si="3"/>
        <v>205.68624259311369</v>
      </c>
    </row>
    <row r="105" spans="1:6" x14ac:dyDescent="0.2">
      <c r="A105">
        <v>16</v>
      </c>
      <c r="B105">
        <v>332.17366734846001</v>
      </c>
      <c r="C105">
        <v>0.87157669699974505</v>
      </c>
      <c r="D105">
        <v>0.59816539950624403</v>
      </c>
      <c r="E105">
        <f t="shared" si="2"/>
        <v>289.51482781786285</v>
      </c>
      <c r="F105">
        <f t="shared" si="3"/>
        <v>198.69479443494581</v>
      </c>
    </row>
    <row r="106" spans="1:6" x14ac:dyDescent="0.2">
      <c r="A106">
        <v>16</v>
      </c>
      <c r="B106">
        <v>346.77020645713799</v>
      </c>
      <c r="C106">
        <v>0.86017091868140805</v>
      </c>
      <c r="D106">
        <v>0.60017064885527405</v>
      </c>
      <c r="E106">
        <f t="shared" si="2"/>
        <v>298.28164705957789</v>
      </c>
      <c r="F106">
        <f t="shared" si="3"/>
        <v>208.12129981305785</v>
      </c>
    </row>
    <row r="107" spans="1:6" x14ac:dyDescent="0.2">
      <c r="A107">
        <v>16</v>
      </c>
      <c r="B107">
        <v>333.117607987246</v>
      </c>
      <c r="C107">
        <v>0.87959805548051695</v>
      </c>
      <c r="D107">
        <v>0.60811088224003995</v>
      </c>
      <c r="E107">
        <f t="shared" si="2"/>
        <v>293.00960023190271</v>
      </c>
      <c r="F107">
        <f t="shared" si="3"/>
        <v>202.57244248281594</v>
      </c>
    </row>
    <row r="108" spans="1:6" x14ac:dyDescent="0.2">
      <c r="A108">
        <v>16</v>
      </c>
      <c r="B108">
        <v>318.960433508427</v>
      </c>
      <c r="C108">
        <v>0.85899031325158404</v>
      </c>
      <c r="D108">
        <v>0.632730619026594</v>
      </c>
      <c r="E108">
        <f t="shared" si="2"/>
        <v>273.98392269426478</v>
      </c>
      <c r="F108">
        <f t="shared" si="3"/>
        <v>201.81603253877779</v>
      </c>
    </row>
    <row r="109" spans="1:6" x14ac:dyDescent="0.2">
      <c r="A109">
        <v>16</v>
      </c>
      <c r="B109">
        <v>332.39344484330798</v>
      </c>
      <c r="C109">
        <v>0.88071988581607996</v>
      </c>
      <c r="D109">
        <v>0.57380849422712299</v>
      </c>
      <c r="E109">
        <f t="shared" si="2"/>
        <v>292.74551678841169</v>
      </c>
      <c r="F109">
        <f t="shared" si="3"/>
        <v>190.7301820765048</v>
      </c>
    </row>
    <row r="110" spans="1:6" x14ac:dyDescent="0.2">
      <c r="A110">
        <v>16</v>
      </c>
      <c r="B110">
        <v>328.19475390465902</v>
      </c>
      <c r="C110">
        <v>0.88216737354525598</v>
      </c>
      <c r="D110">
        <v>0.60594876851585699</v>
      </c>
      <c r="E110">
        <f t="shared" si="2"/>
        <v>289.52270406340472</v>
      </c>
      <c r="F110">
        <f t="shared" si="3"/>
        <v>198.86920696189287</v>
      </c>
    </row>
    <row r="111" spans="1:6" x14ac:dyDescent="0.2">
      <c r="A111">
        <v>16</v>
      </c>
      <c r="B111">
        <v>316.97224964035701</v>
      </c>
      <c r="C111">
        <v>0.83632273202503504</v>
      </c>
      <c r="D111">
        <v>0.58230407912618998</v>
      </c>
      <c r="E111">
        <f t="shared" si="2"/>
        <v>265.09109779534481</v>
      </c>
      <c r="F111">
        <f t="shared" si="3"/>
        <v>184.57423393538488</v>
      </c>
    </row>
    <row r="112" spans="1:6" x14ac:dyDescent="0.2">
      <c r="A112">
        <v>16</v>
      </c>
      <c r="B112">
        <v>313.969892462009</v>
      </c>
      <c r="C112">
        <v>0.90207777187320803</v>
      </c>
      <c r="D112">
        <v>0.61848241984855501</v>
      </c>
      <c r="E112">
        <f t="shared" si="2"/>
        <v>283.22526102739982</v>
      </c>
      <c r="F112">
        <f t="shared" si="3"/>
        <v>194.18485884949391</v>
      </c>
    </row>
    <row r="113" spans="1:6" x14ac:dyDescent="0.2">
      <c r="A113">
        <v>16</v>
      </c>
      <c r="B113">
        <v>321.86659736544601</v>
      </c>
      <c r="C113">
        <v>0.86220163886561896</v>
      </c>
      <c r="D113">
        <v>0.58871756708381695</v>
      </c>
      <c r="E113">
        <f t="shared" si="2"/>
        <v>277.51390774458787</v>
      </c>
      <c r="F113">
        <f t="shared" si="3"/>
        <v>189.48852012653185</v>
      </c>
    </row>
    <row r="114" spans="1:6" x14ac:dyDescent="0.2">
      <c r="A114">
        <v>16</v>
      </c>
      <c r="B114">
        <v>370.48356729925598</v>
      </c>
      <c r="C114">
        <v>0.88788816999590703</v>
      </c>
      <c r="D114">
        <v>0.60627927471759102</v>
      </c>
      <c r="E114">
        <f t="shared" si="2"/>
        <v>328.94797658289184</v>
      </c>
      <c r="F114">
        <f t="shared" si="3"/>
        <v>224.61650847697874</v>
      </c>
    </row>
    <row r="115" spans="1:6" x14ac:dyDescent="0.2">
      <c r="A115">
        <v>16</v>
      </c>
      <c r="B115">
        <v>338.33597342106901</v>
      </c>
      <c r="C115">
        <v>0.87121948064325805</v>
      </c>
      <c r="D115">
        <v>0.56551057451456099</v>
      </c>
      <c r="E115">
        <f t="shared" si="2"/>
        <v>294.76489104683492</v>
      </c>
      <c r="F115">
        <f t="shared" si="3"/>
        <v>191.33257070829197</v>
      </c>
    </row>
    <row r="116" spans="1:6" x14ac:dyDescent="0.2">
      <c r="A116">
        <v>16</v>
      </c>
      <c r="B116">
        <v>360.52031821703201</v>
      </c>
      <c r="C116">
        <v>0.76080132909298503</v>
      </c>
      <c r="D116">
        <v>0.60989676141479399</v>
      </c>
      <c r="E116">
        <f t="shared" si="2"/>
        <v>274.28433726454386</v>
      </c>
      <c r="F116">
        <f t="shared" si="3"/>
        <v>219.88017450479879</v>
      </c>
    </row>
    <row r="117" spans="1:6" x14ac:dyDescent="0.2">
      <c r="A117">
        <v>18</v>
      </c>
      <c r="B117">
        <v>340.43920308872299</v>
      </c>
      <c r="C117">
        <v>0.825864748448218</v>
      </c>
      <c r="D117">
        <v>0.65761364973340497</v>
      </c>
      <c r="E117">
        <f t="shared" si="2"/>
        <v>281.15673682078</v>
      </c>
      <c r="F117">
        <f t="shared" si="3"/>
        <v>223.87746685550701</v>
      </c>
    </row>
    <row r="118" spans="1:6" x14ac:dyDescent="0.2">
      <c r="A118">
        <v>18</v>
      </c>
      <c r="B118">
        <v>340.06558751505702</v>
      </c>
      <c r="C118">
        <v>0.91686389204524998</v>
      </c>
      <c r="D118">
        <v>0.73317748344112099</v>
      </c>
      <c r="E118">
        <f t="shared" si="2"/>
        <v>311.79385811970974</v>
      </c>
      <c r="F118">
        <f t="shared" si="3"/>
        <v>249.32843165921579</v>
      </c>
    </row>
    <row r="119" spans="1:6" x14ac:dyDescent="0.2">
      <c r="A119">
        <v>18</v>
      </c>
      <c r="B119">
        <v>349.37690587455199</v>
      </c>
      <c r="C119">
        <v>0.90200490246950304</v>
      </c>
      <c r="D119">
        <v>0.69111510030204404</v>
      </c>
      <c r="E119">
        <f t="shared" si="2"/>
        <v>315.13968190847203</v>
      </c>
      <c r="F119">
        <f t="shared" si="3"/>
        <v>241.45965534670881</v>
      </c>
    </row>
    <row r="120" spans="1:6" x14ac:dyDescent="0.2">
      <c r="A120">
        <v>18</v>
      </c>
      <c r="B120">
        <v>335.29611351070201</v>
      </c>
      <c r="C120">
        <v>0.85366688622029896</v>
      </c>
      <c r="D120">
        <v>0.65725823072739198</v>
      </c>
      <c r="E120">
        <f t="shared" si="2"/>
        <v>286.23118918244887</v>
      </c>
      <c r="F120">
        <f t="shared" si="3"/>
        <v>220.37613033581479</v>
      </c>
    </row>
    <row r="121" spans="1:6" x14ac:dyDescent="0.2">
      <c r="A121">
        <v>18</v>
      </c>
      <c r="B121">
        <v>326.22742375223902</v>
      </c>
      <c r="C121">
        <v>0.85239703872049599</v>
      </c>
      <c r="D121">
        <v>0.69346258092319901</v>
      </c>
      <c r="E121">
        <f t="shared" si="2"/>
        <v>278.07528995582493</v>
      </c>
      <c r="F121">
        <f t="shared" si="3"/>
        <v>226.22651124315379</v>
      </c>
    </row>
    <row r="122" spans="1:6" x14ac:dyDescent="0.2">
      <c r="A122">
        <v>18</v>
      </c>
      <c r="B122">
        <v>361.41744047711398</v>
      </c>
      <c r="C122">
        <v>0.89853519099594104</v>
      </c>
      <c r="D122">
        <v>0.62940632800649099</v>
      </c>
      <c r="E122">
        <f t="shared" si="2"/>
        <v>324.74628890836777</v>
      </c>
      <c r="F122">
        <f t="shared" si="3"/>
        <v>227.47842408820483</v>
      </c>
    </row>
    <row r="123" spans="1:6" x14ac:dyDescent="0.2">
      <c r="A123">
        <v>18</v>
      </c>
      <c r="B123">
        <v>339.65247065954401</v>
      </c>
      <c r="C123">
        <v>0.91797958945048697</v>
      </c>
      <c r="D123">
        <v>0.67070552360118296</v>
      </c>
      <c r="E123">
        <f t="shared" si="2"/>
        <v>311.79403557189175</v>
      </c>
      <c r="F123">
        <f t="shared" si="3"/>
        <v>227.80678817614489</v>
      </c>
    </row>
    <row r="124" spans="1:6" x14ac:dyDescent="0.2">
      <c r="A124">
        <v>18</v>
      </c>
      <c r="B124">
        <v>326.15053434596501</v>
      </c>
      <c r="C124">
        <v>0.87355782373615698</v>
      </c>
      <c r="D124">
        <v>0.64948874644916998</v>
      </c>
      <c r="E124">
        <f t="shared" si="2"/>
        <v>284.9113509936459</v>
      </c>
      <c r="F124">
        <f t="shared" si="3"/>
        <v>211.83110170608776</v>
      </c>
    </row>
    <row r="125" spans="1:6" x14ac:dyDescent="0.2">
      <c r="A125">
        <v>18</v>
      </c>
      <c r="B125">
        <v>307.92287533562001</v>
      </c>
      <c r="C125">
        <v>0.85459056174161196</v>
      </c>
      <c r="D125">
        <v>0.63047606206131501</v>
      </c>
      <c r="E125">
        <f t="shared" si="2"/>
        <v>263.14798300615985</v>
      </c>
      <c r="F125">
        <f t="shared" si="3"/>
        <v>194.13800186019893</v>
      </c>
    </row>
    <row r="126" spans="1:6" x14ac:dyDescent="0.2">
      <c r="A126">
        <v>18</v>
      </c>
      <c r="B126">
        <v>336.00523957675802</v>
      </c>
      <c r="C126">
        <v>0.92846987679069304</v>
      </c>
      <c r="D126">
        <v>0.70243429992321105</v>
      </c>
      <c r="E126">
        <f t="shared" si="2"/>
        <v>311.97074339085981</v>
      </c>
      <c r="F126">
        <f t="shared" si="3"/>
        <v>236.02160523263083</v>
      </c>
    </row>
    <row r="127" spans="1:6" x14ac:dyDescent="0.2">
      <c r="A127">
        <v>18</v>
      </c>
      <c r="B127">
        <v>340.24991726174102</v>
      </c>
      <c r="C127">
        <v>0.82924241140214605</v>
      </c>
      <c r="D127">
        <v>0.64178901594723203</v>
      </c>
      <c r="E127">
        <f t="shared" si="2"/>
        <v>282.14966186950682</v>
      </c>
      <c r="F127">
        <f t="shared" si="3"/>
        <v>218.36865957553988</v>
      </c>
    </row>
    <row r="128" spans="1:6" x14ac:dyDescent="0.2">
      <c r="A128">
        <v>18</v>
      </c>
      <c r="B128">
        <v>348.55320753834201</v>
      </c>
      <c r="C128">
        <v>0.88320324416219897</v>
      </c>
      <c r="D128">
        <v>0.65242523786033302</v>
      </c>
      <c r="E128">
        <f t="shared" si="2"/>
        <v>307.84332366100386</v>
      </c>
      <c r="F128">
        <f t="shared" si="3"/>
        <v>227.40490933518481</v>
      </c>
    </row>
    <row r="129" spans="1:6" x14ac:dyDescent="0.2">
      <c r="A129">
        <v>18</v>
      </c>
      <c r="B129">
        <v>236.89302395124901</v>
      </c>
      <c r="C129">
        <v>0.71191015679483804</v>
      </c>
      <c r="D129">
        <v>0.29028711749300801</v>
      </c>
      <c r="E129">
        <f t="shared" si="2"/>
        <v>168.64654982473701</v>
      </c>
      <c r="F129">
        <f t="shared" si="3"/>
        <v>68.766993077010184</v>
      </c>
    </row>
    <row r="130" spans="1:6" x14ac:dyDescent="0.2">
      <c r="A130">
        <v>21</v>
      </c>
      <c r="B130">
        <v>384.35648871723299</v>
      </c>
      <c r="C130">
        <v>0.91850486435831902</v>
      </c>
      <c r="D130">
        <v>0.67298076483122804</v>
      </c>
      <c r="E130">
        <f t="shared" si="2"/>
        <v>353.03330453446188</v>
      </c>
      <c r="F130">
        <f t="shared" si="3"/>
        <v>258.66452374476876</v>
      </c>
    </row>
    <row r="131" spans="1:6" x14ac:dyDescent="0.2">
      <c r="A131">
        <v>21</v>
      </c>
      <c r="B131">
        <v>358.02017989952401</v>
      </c>
      <c r="C131">
        <v>0.89079948300132605</v>
      </c>
      <c r="D131">
        <v>0.75874056002708901</v>
      </c>
      <c r="E131">
        <f t="shared" si="2"/>
        <v>318.92419115853772</v>
      </c>
      <c r="F131">
        <f t="shared" si="3"/>
        <v>271.64443179796399</v>
      </c>
    </row>
    <row r="132" spans="1:6" x14ac:dyDescent="0.2">
      <c r="A132">
        <v>21</v>
      </c>
      <c r="B132">
        <v>347.27965911303198</v>
      </c>
      <c r="C132">
        <v>0.89483450436458201</v>
      </c>
      <c r="D132">
        <v>0.78608064344700002</v>
      </c>
      <c r="E132">
        <f t="shared" si="2"/>
        <v>310.75782163831099</v>
      </c>
      <c r="F132">
        <f t="shared" si="3"/>
        <v>272.98981789162701</v>
      </c>
    </row>
    <row r="133" spans="1:6" x14ac:dyDescent="0.2">
      <c r="A133">
        <v>21</v>
      </c>
      <c r="B133">
        <v>340.831888307067</v>
      </c>
      <c r="C133">
        <v>0.90960363251639598</v>
      </c>
      <c r="D133">
        <v>0.77124084500080103</v>
      </c>
      <c r="E133">
        <f t="shared" si="2"/>
        <v>310.02192368153067</v>
      </c>
      <c r="F133">
        <f t="shared" si="3"/>
        <v>262.863473541161</v>
      </c>
    </row>
    <row r="134" spans="1:6" x14ac:dyDescent="0.2">
      <c r="A134">
        <v>21</v>
      </c>
      <c r="B134">
        <v>350.59585044353599</v>
      </c>
      <c r="C134">
        <v>0.93423202120200899</v>
      </c>
      <c r="D134">
        <v>0.76993614927140297</v>
      </c>
      <c r="E134">
        <f t="shared" ref="E134:E155" si="4">C134*B134</f>
        <v>327.53786998490187</v>
      </c>
      <c r="F134">
        <f t="shared" ref="F134:F155" si="5">D134*B134</f>
        <v>269.93641904102878</v>
      </c>
    </row>
    <row r="135" spans="1:6" x14ac:dyDescent="0.2">
      <c r="A135">
        <v>21</v>
      </c>
      <c r="B135">
        <v>307.80706606025097</v>
      </c>
      <c r="C135">
        <v>0.89723549031674099</v>
      </c>
      <c r="D135">
        <v>0.78988137851908702</v>
      </c>
      <c r="E135">
        <f t="shared" si="4"/>
        <v>276.17542383952679</v>
      </c>
      <c r="F135">
        <f t="shared" si="5"/>
        <v>243.13106965758672</v>
      </c>
    </row>
    <row r="136" spans="1:6" x14ac:dyDescent="0.2">
      <c r="A136">
        <v>21</v>
      </c>
      <c r="B136">
        <v>311.67548010516202</v>
      </c>
      <c r="C136">
        <v>0.86471540117828505</v>
      </c>
      <c r="D136">
        <v>0.76627199883224095</v>
      </c>
      <c r="E136">
        <f t="shared" si="4"/>
        <v>269.5105878165698</v>
      </c>
      <c r="F136">
        <f t="shared" si="5"/>
        <v>238.82819312718084</v>
      </c>
    </row>
    <row r="137" spans="1:6" x14ac:dyDescent="0.2">
      <c r="A137">
        <v>21</v>
      </c>
      <c r="B137">
        <v>357.03120048619297</v>
      </c>
      <c r="C137">
        <v>0.92866190798379</v>
      </c>
      <c r="D137">
        <v>0.74806355672580305</v>
      </c>
      <c r="E137">
        <f t="shared" si="4"/>
        <v>331.561275853251</v>
      </c>
      <c r="F137">
        <f t="shared" si="5"/>
        <v>267.08202969778478</v>
      </c>
    </row>
    <row r="138" spans="1:6" x14ac:dyDescent="0.2">
      <c r="A138">
        <v>21</v>
      </c>
      <c r="B138">
        <v>375.82168016033103</v>
      </c>
      <c r="C138">
        <v>0.92353027914062402</v>
      </c>
      <c r="D138">
        <v>0.75533124978993205</v>
      </c>
      <c r="E138">
        <f t="shared" si="4"/>
        <v>347.08270118556885</v>
      </c>
      <c r="F138">
        <f t="shared" si="5"/>
        <v>283.86985937365495</v>
      </c>
    </row>
    <row r="139" spans="1:6" x14ac:dyDescent="0.2">
      <c r="A139">
        <v>21</v>
      </c>
      <c r="B139">
        <v>309.277404691475</v>
      </c>
      <c r="C139">
        <v>0.92568627371499801</v>
      </c>
      <c r="D139">
        <v>0.78070218383729995</v>
      </c>
      <c r="E139">
        <f t="shared" si="4"/>
        <v>286.29384829309691</v>
      </c>
      <c r="F139">
        <f t="shared" si="5"/>
        <v>241.45354525416693</v>
      </c>
    </row>
    <row r="140" spans="1:6" x14ac:dyDescent="0.2">
      <c r="A140">
        <v>21</v>
      </c>
      <c r="B140">
        <v>292.38337000993999</v>
      </c>
      <c r="C140">
        <v>0.82691405130281004</v>
      </c>
      <c r="D140">
        <v>0.81156162680194799</v>
      </c>
      <c r="E140">
        <f t="shared" si="4"/>
        <v>241.77591702848801</v>
      </c>
      <c r="F140">
        <f t="shared" si="5"/>
        <v>237.2871234151028</v>
      </c>
    </row>
    <row r="141" spans="1:6" x14ac:dyDescent="0.2">
      <c r="A141">
        <v>21</v>
      </c>
      <c r="B141">
        <v>343.96580945475</v>
      </c>
      <c r="C141">
        <v>0.88610639892732501</v>
      </c>
      <c r="D141">
        <v>0.74512390687127505</v>
      </c>
      <c r="E141">
        <f t="shared" si="4"/>
        <v>304.79030477007097</v>
      </c>
      <c r="F141">
        <f t="shared" si="5"/>
        <v>256.29714777106386</v>
      </c>
    </row>
    <row r="142" spans="1:6" x14ac:dyDescent="0.2">
      <c r="A142">
        <v>21</v>
      </c>
      <c r="B142">
        <v>307.29298592329002</v>
      </c>
      <c r="C142">
        <v>0.86683560769718904</v>
      </c>
      <c r="D142">
        <v>0.80997314461520098</v>
      </c>
      <c r="E142">
        <f t="shared" si="4"/>
        <v>266.37250219389887</v>
      </c>
      <c r="F142">
        <f t="shared" si="5"/>
        <v>248.8990661264819</v>
      </c>
    </row>
    <row r="143" spans="1:6" x14ac:dyDescent="0.2">
      <c r="A143">
        <v>21</v>
      </c>
      <c r="B143">
        <v>322.54959972237799</v>
      </c>
      <c r="C143">
        <v>0.90330310694914095</v>
      </c>
      <c r="D143">
        <v>0.76417947990891599</v>
      </c>
      <c r="E143">
        <f t="shared" si="4"/>
        <v>291.36005557442581</v>
      </c>
      <c r="F143">
        <f t="shared" si="5"/>
        <v>246.48578536067583</v>
      </c>
    </row>
    <row r="144" spans="1:6" x14ac:dyDescent="0.2">
      <c r="A144">
        <v>21</v>
      </c>
      <c r="B144">
        <v>318.19323489152902</v>
      </c>
      <c r="C144">
        <v>0.86028355189161299</v>
      </c>
      <c r="D144">
        <v>0.75728899752291001</v>
      </c>
      <c r="E144">
        <f t="shared" si="4"/>
        <v>273.73640630036692</v>
      </c>
      <c r="F144">
        <f t="shared" si="5"/>
        <v>240.96423586957783</v>
      </c>
    </row>
    <row r="145" spans="1:6" x14ac:dyDescent="0.2">
      <c r="A145">
        <v>21</v>
      </c>
      <c r="B145">
        <v>361.99866450055401</v>
      </c>
      <c r="C145">
        <v>0.91403613605265499</v>
      </c>
      <c r="D145">
        <v>0.75334906047602102</v>
      </c>
      <c r="E145">
        <f t="shared" si="4"/>
        <v>330.87986055630779</v>
      </c>
      <c r="F145">
        <f t="shared" si="5"/>
        <v>272.71135379506671</v>
      </c>
    </row>
    <row r="146" spans="1:6" x14ac:dyDescent="0.2">
      <c r="A146">
        <v>21</v>
      </c>
      <c r="B146">
        <v>304.97172356055597</v>
      </c>
      <c r="C146">
        <v>0.89934512505729103</v>
      </c>
      <c r="D146">
        <v>0.80804184789756095</v>
      </c>
      <c r="E146">
        <f t="shared" si="4"/>
        <v>274.27483286450581</v>
      </c>
      <c r="F146">
        <f t="shared" si="5"/>
        <v>246.42991506237578</v>
      </c>
    </row>
    <row r="147" spans="1:6" x14ac:dyDescent="0.2">
      <c r="A147">
        <v>21</v>
      </c>
      <c r="B147">
        <v>346.206030725375</v>
      </c>
      <c r="C147">
        <v>0.91471363043717202</v>
      </c>
      <c r="D147">
        <v>0.68430543577955205</v>
      </c>
      <c r="E147">
        <f t="shared" si="4"/>
        <v>316.6793752440509</v>
      </c>
      <c r="F147">
        <f t="shared" si="5"/>
        <v>236.91066872503671</v>
      </c>
    </row>
    <row r="148" spans="1:6" x14ac:dyDescent="0.2">
      <c r="A148">
        <v>21</v>
      </c>
      <c r="B148">
        <v>357.53841136440798</v>
      </c>
      <c r="C148">
        <v>0.910273614243998</v>
      </c>
      <c r="D148">
        <v>0.76156589448282896</v>
      </c>
      <c r="E148">
        <f t="shared" si="4"/>
        <v>325.45778194373696</v>
      </c>
      <c r="F148">
        <f t="shared" si="5"/>
        <v>272.289060062705</v>
      </c>
    </row>
    <row r="149" spans="1:6" x14ac:dyDescent="0.2">
      <c r="A149">
        <v>21</v>
      </c>
      <c r="B149">
        <v>347.99969486221102</v>
      </c>
      <c r="C149">
        <v>0.88717980937156105</v>
      </c>
      <c r="D149">
        <v>0.71536407766018595</v>
      </c>
      <c r="E149">
        <f t="shared" si="4"/>
        <v>308.73830294921777</v>
      </c>
      <c r="F149">
        <f t="shared" si="5"/>
        <v>248.94648074113172</v>
      </c>
    </row>
    <row r="150" spans="1:6" x14ac:dyDescent="0.2">
      <c r="A150">
        <v>21</v>
      </c>
      <c r="B150">
        <v>321.41096614979398</v>
      </c>
      <c r="C150">
        <v>0.86620046456668598</v>
      </c>
      <c r="D150">
        <v>0.69278706630856701</v>
      </c>
      <c r="E150">
        <f t="shared" si="4"/>
        <v>278.40632819577894</v>
      </c>
      <c r="F150">
        <f t="shared" si="5"/>
        <v>222.6693603183179</v>
      </c>
    </row>
    <row r="151" spans="1:6" x14ac:dyDescent="0.2">
      <c r="A151">
        <v>21</v>
      </c>
      <c r="B151">
        <v>330.38636979948501</v>
      </c>
      <c r="C151">
        <v>0.91517005634700999</v>
      </c>
      <c r="D151">
        <v>0.77741476807944898</v>
      </c>
      <c r="E151">
        <f t="shared" si="4"/>
        <v>302.35971266567879</v>
      </c>
      <c r="F151">
        <f t="shared" si="5"/>
        <v>256.84724305427773</v>
      </c>
    </row>
    <row r="152" spans="1:6" x14ac:dyDescent="0.2">
      <c r="A152">
        <v>21</v>
      </c>
      <c r="B152">
        <v>371.15527850082202</v>
      </c>
      <c r="C152">
        <v>0.90761047290645402</v>
      </c>
      <c r="D152">
        <v>0.75039719337331501</v>
      </c>
      <c r="E152">
        <f t="shared" si="4"/>
        <v>336.86441784185774</v>
      </c>
      <c r="F152">
        <f t="shared" si="5"/>
        <v>278.51387929270794</v>
      </c>
    </row>
    <row r="153" spans="1:6" x14ac:dyDescent="0.2">
      <c r="A153">
        <v>21</v>
      </c>
      <c r="B153">
        <v>334.61047019733701</v>
      </c>
      <c r="C153">
        <v>0.89707416385045202</v>
      </c>
      <c r="D153">
        <v>0</v>
      </c>
      <c r="E153">
        <f t="shared" si="4"/>
        <v>300.17040776788269</v>
      </c>
      <c r="F153">
        <f t="shared" si="5"/>
        <v>0</v>
      </c>
    </row>
    <row r="154" spans="1:6" x14ac:dyDescent="0.2">
      <c r="A154">
        <v>21</v>
      </c>
      <c r="B154">
        <v>320.19917922513099</v>
      </c>
      <c r="C154">
        <v>0.88350247641065605</v>
      </c>
      <c r="D154">
        <v>0.80691485967351395</v>
      </c>
      <c r="E154">
        <f t="shared" si="4"/>
        <v>282.89676779006271</v>
      </c>
      <c r="F154">
        <f t="shared" si="5"/>
        <v>258.37347577202092</v>
      </c>
    </row>
    <row r="155" spans="1:6" x14ac:dyDescent="0.2">
      <c r="A155">
        <v>21</v>
      </c>
      <c r="B155">
        <v>369.00856193218999</v>
      </c>
      <c r="C155">
        <v>0.865090649321404</v>
      </c>
      <c r="D155">
        <v>0.67479128411209699</v>
      </c>
      <c r="E155">
        <f t="shared" si="4"/>
        <v>319.22585644707578</v>
      </c>
      <c r="F155">
        <f t="shared" si="5"/>
        <v>249.00376135458075</v>
      </c>
    </row>
  </sheetData>
  <sortState xmlns:xlrd2="http://schemas.microsoft.com/office/spreadsheetml/2017/richdata2" ref="A5:D155">
    <sortCondition ref="A15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DC47-D37B-8B48-A6E3-9C77FE242AF8}">
  <dimension ref="A1:K167"/>
  <sheetViews>
    <sheetView workbookViewId="0">
      <selection activeCell="H4" sqref="H4:K13"/>
    </sheetView>
  </sheetViews>
  <sheetFormatPr baseColWidth="10" defaultRowHeight="16" x14ac:dyDescent="0.2"/>
  <cols>
    <col min="5" max="6" width="14.1640625" bestFit="1" customWidth="1"/>
    <col min="9" max="9" width="13.33203125" bestFit="1" customWidth="1"/>
    <col min="10" max="11" width="21" bestFit="1" customWidth="1"/>
  </cols>
  <sheetData>
    <row r="1" spans="1:11" x14ac:dyDescent="0.2">
      <c r="A1" t="s">
        <v>4</v>
      </c>
      <c r="B1" t="s">
        <v>10</v>
      </c>
    </row>
    <row r="2" spans="1:11" x14ac:dyDescent="0.2">
      <c r="A2" t="s">
        <v>6</v>
      </c>
      <c r="B2">
        <v>10000</v>
      </c>
    </row>
    <row r="4" spans="1:11" x14ac:dyDescent="0.2">
      <c r="A4" t="s">
        <v>0</v>
      </c>
      <c r="B4" t="s">
        <v>1</v>
      </c>
      <c r="C4" t="s">
        <v>2</v>
      </c>
      <c r="D4" t="s">
        <v>3</v>
      </c>
      <c r="E4" t="s">
        <v>12</v>
      </c>
      <c r="F4" t="s">
        <v>11</v>
      </c>
      <c r="H4" t="s">
        <v>0</v>
      </c>
      <c r="I4" t="s">
        <v>13</v>
      </c>
      <c r="J4" t="s">
        <v>16</v>
      </c>
      <c r="K4" t="s">
        <v>15</v>
      </c>
    </row>
    <row r="5" spans="1:11" x14ac:dyDescent="0.2">
      <c r="A5">
        <v>4</v>
      </c>
      <c r="B5">
        <v>232.03853706794399</v>
      </c>
      <c r="C5">
        <v>0.36596162794856701</v>
      </c>
      <c r="D5">
        <v>0</v>
      </c>
      <c r="E5">
        <f>C5*B5</f>
        <v>84.917200772188693</v>
      </c>
      <c r="F5">
        <f>D5*B5</f>
        <v>0</v>
      </c>
      <c r="H5">
        <v>4</v>
      </c>
      <c r="I5">
        <f>AVERAGEIF($A$5:$A$300, 4, $B$5:$B$300)</f>
        <v>242.78277204761915</v>
      </c>
      <c r="J5">
        <f>AVERAGEIF($A$5:$A$300, 4, $E$5:$E$300)</f>
        <v>140.65818225028326</v>
      </c>
      <c r="K5">
        <f>AVERAGEIF($A$5:$A$300, 4, $F$5:$F$300)</f>
        <v>0</v>
      </c>
    </row>
    <row r="6" spans="1:11" x14ac:dyDescent="0.2">
      <c r="A6">
        <v>4</v>
      </c>
      <c r="B6">
        <v>227.91577812634699</v>
      </c>
      <c r="C6">
        <v>0.56986767741142397</v>
      </c>
      <c r="D6">
        <v>0</v>
      </c>
      <c r="E6">
        <f t="shared" ref="E6:E69" si="0">C6*B6</f>
        <v>129.88183512627879</v>
      </c>
      <c r="F6">
        <f t="shared" ref="F6:F69" si="1">D6*B6</f>
        <v>0</v>
      </c>
      <c r="H6">
        <v>5</v>
      </c>
      <c r="I6">
        <f>AVERAGEIF($A$5:$A$300, 5, $B$5:$B$300)</f>
        <v>237.62002855494794</v>
      </c>
      <c r="J6">
        <f>AVERAGEIF($A$5:$A$300, 5, $E$5:$E$300)</f>
        <v>70.082637071526406</v>
      </c>
      <c r="K6">
        <f>AVERAGEIF($A$5:$A$300, 5, $F$5:$F$300)</f>
        <v>0</v>
      </c>
    </row>
    <row r="7" spans="1:11" x14ac:dyDescent="0.2">
      <c r="A7">
        <v>4</v>
      </c>
      <c r="B7">
        <v>250.82493286981901</v>
      </c>
      <c r="C7">
        <v>0.71000005950928502</v>
      </c>
      <c r="D7">
        <v>0</v>
      </c>
      <c r="E7">
        <f t="shared" si="0"/>
        <v>178.08571726398392</v>
      </c>
      <c r="F7">
        <f t="shared" si="1"/>
        <v>0</v>
      </c>
      <c r="H7">
        <v>7</v>
      </c>
      <c r="I7">
        <f>AVERAGEIF($A$5:$A$300, 7, $B$5:$B$300)</f>
        <v>253.95515586672684</v>
      </c>
      <c r="J7">
        <f>AVERAGEIF($A$5:$A$300, 7, $E$5:$E$300)</f>
        <v>129.38591109862944</v>
      </c>
      <c r="K7">
        <f>AVERAGEIF($A$5:$A$300, 7, $F$5:$F$300)</f>
        <v>13.230878256983939</v>
      </c>
    </row>
    <row r="8" spans="1:11" x14ac:dyDescent="0.2">
      <c r="A8">
        <v>4</v>
      </c>
      <c r="B8">
        <v>247.776256605507</v>
      </c>
      <c r="C8">
        <v>0.55105134206334305</v>
      </c>
      <c r="D8">
        <v>0</v>
      </c>
      <c r="E8">
        <f t="shared" si="0"/>
        <v>136.5374387338959</v>
      </c>
      <c r="F8">
        <f t="shared" si="1"/>
        <v>0</v>
      </c>
      <c r="H8">
        <v>10</v>
      </c>
      <c r="I8">
        <f>AVERAGEIF($A$5:$A$300, 10, $B$5:$B$300)</f>
        <v>289.58087826005374</v>
      </c>
      <c r="J8">
        <f>AVERAGEIF($A$5:$A$300, 10, $E$5:$E$300)</f>
        <v>192.19924871132224</v>
      </c>
      <c r="K8">
        <f>AVERAGEIF($A$5:$A$300, 10, $F$5:$F$300)</f>
        <v>69.720992799406318</v>
      </c>
    </row>
    <row r="9" spans="1:11" x14ac:dyDescent="0.2">
      <c r="A9">
        <v>4</v>
      </c>
      <c r="B9">
        <v>247.06170846592201</v>
      </c>
      <c r="C9">
        <v>0.58312302241394698</v>
      </c>
      <c r="D9">
        <v>0</v>
      </c>
      <c r="E9">
        <f t="shared" si="0"/>
        <v>144.06737016340188</v>
      </c>
      <c r="F9">
        <f t="shared" si="1"/>
        <v>0</v>
      </c>
      <c r="H9">
        <v>12</v>
      </c>
      <c r="I9">
        <f ca="1">AVERAGEIF($A$5:$A$300, 12, $B$5:$B$155)</f>
        <v>310.64852167629402</v>
      </c>
      <c r="J9">
        <f ca="1">AVERAGEIF($A$5:$A$300, 12, $E$5:$E$155)</f>
        <v>235.87543116396671</v>
      </c>
      <c r="K9">
        <f ca="1">AVERAGEIF($A$5:$A$300, 12, $F$5:$F$155)</f>
        <v>109.05720178623851</v>
      </c>
    </row>
    <row r="10" spans="1:11" x14ac:dyDescent="0.2">
      <c r="A10">
        <v>4</v>
      </c>
      <c r="B10">
        <v>258.50096848216901</v>
      </c>
      <c r="C10">
        <v>0.53042357352951996</v>
      </c>
      <c r="D10">
        <v>0</v>
      </c>
      <c r="E10">
        <f t="shared" si="0"/>
        <v>137.11500746315389</v>
      </c>
      <c r="F10">
        <f t="shared" si="1"/>
        <v>0</v>
      </c>
      <c r="H10">
        <v>14</v>
      </c>
      <c r="I10">
        <f>AVERAGEIF($A$5:$A$300, 14, $B$5:$B$300)</f>
        <v>318.25485031328026</v>
      </c>
      <c r="J10">
        <f>AVERAGEIF($A$5:$A$300, 14, $E$5:$E$300)</f>
        <v>251.82476570708795</v>
      </c>
      <c r="K10">
        <f>AVERAGEIF($A$5:$A$300, 14, $F$5:$F$300)</f>
        <v>137.81561530809583</v>
      </c>
    </row>
    <row r="11" spans="1:11" x14ac:dyDescent="0.2">
      <c r="A11">
        <v>4</v>
      </c>
      <c r="B11">
        <v>235.36122271562601</v>
      </c>
      <c r="C11">
        <v>0.73930065548358304</v>
      </c>
      <c r="D11">
        <v>0</v>
      </c>
      <c r="E11">
        <f t="shared" si="0"/>
        <v>174.00270622907988</v>
      </c>
      <c r="F11">
        <f t="shared" si="1"/>
        <v>0</v>
      </c>
      <c r="H11">
        <v>16</v>
      </c>
      <c r="I11">
        <f>AVERAGEIF($A$5:$A$300, 16, $B$5:$B$300)</f>
        <v>310.06751520528707</v>
      </c>
      <c r="J11">
        <f>AVERAGEIF($A$5:$A$300, 16, $E$5:$E$300)</f>
        <v>246.73691995187832</v>
      </c>
      <c r="K11">
        <f>AVERAGEIF($A$5:$A$300, 16, $F$5:$F$300)</f>
        <v>147.02057112899632</v>
      </c>
    </row>
    <row r="12" spans="1:11" x14ac:dyDescent="0.2">
      <c r="A12">
        <v>5</v>
      </c>
      <c r="B12">
        <v>247.22288564656401</v>
      </c>
      <c r="C12">
        <v>0.44552721308183901</v>
      </c>
      <c r="D12">
        <v>0</v>
      </c>
      <c r="E12">
        <f t="shared" si="0"/>
        <v>110.14452325216384</v>
      </c>
      <c r="F12">
        <f t="shared" si="1"/>
        <v>0</v>
      </c>
      <c r="H12">
        <v>18</v>
      </c>
      <c r="I12">
        <f>AVERAGEIF($A$5:$A$300, 18, $B$5:$B$300)</f>
        <v>317.42463336152235</v>
      </c>
      <c r="J12">
        <f>AVERAGEIF($A$5:$A$300, 18, $E$5:$E$300)</f>
        <v>265.02857898275585</v>
      </c>
      <c r="K12">
        <f>AVERAGEIF($A$5:$A$300, 18, $F$5:$F$300)</f>
        <v>178.03908950931128</v>
      </c>
    </row>
    <row r="13" spans="1:11" x14ac:dyDescent="0.2">
      <c r="A13">
        <v>5</v>
      </c>
      <c r="B13">
        <v>229.064019082621</v>
      </c>
      <c r="C13">
        <v>0.37967392235918002</v>
      </c>
      <c r="D13">
        <v>0</v>
      </c>
      <c r="E13">
        <f t="shared" si="0"/>
        <v>86.969634596456771</v>
      </c>
      <c r="F13">
        <f t="shared" si="1"/>
        <v>0</v>
      </c>
      <c r="H13">
        <v>21</v>
      </c>
      <c r="I13">
        <f>AVERAGEIF($A$5:$A$300, 21, $B$5:$B$300)</f>
        <v>330.34791179798401</v>
      </c>
      <c r="J13">
        <f>AVERAGEIF($A$5:$A$300, 21, $E$5:$E$300)</f>
        <v>287.54705652919131</v>
      </c>
      <c r="K13">
        <f>AVERAGEIF($A$5:$A$300, 21, $F$5:$F$300)</f>
        <v>212.43464016511285</v>
      </c>
    </row>
    <row r="14" spans="1:11" x14ac:dyDescent="0.2">
      <c r="A14">
        <v>5</v>
      </c>
      <c r="B14">
        <v>235.37689302278</v>
      </c>
      <c r="C14">
        <v>0.295142455858595</v>
      </c>
      <c r="D14">
        <v>0</v>
      </c>
      <c r="E14">
        <f t="shared" si="0"/>
        <v>69.469714259109082</v>
      </c>
      <c r="F14">
        <f t="shared" si="1"/>
        <v>0</v>
      </c>
    </row>
    <row r="15" spans="1:11" x14ac:dyDescent="0.2">
      <c r="A15">
        <v>5</v>
      </c>
      <c r="B15">
        <v>242.75456140607301</v>
      </c>
      <c r="C15">
        <v>0.238819396414438</v>
      </c>
      <c r="D15">
        <v>0</v>
      </c>
      <c r="E15">
        <f t="shared" si="0"/>
        <v>57.97449783184998</v>
      </c>
      <c r="F15">
        <f t="shared" si="1"/>
        <v>0</v>
      </c>
    </row>
    <row r="16" spans="1:11" x14ac:dyDescent="0.2">
      <c r="A16">
        <v>5</v>
      </c>
      <c r="B16">
        <v>254.64552553093199</v>
      </c>
      <c r="C16">
        <v>0.27662471184141602</v>
      </c>
      <c r="D16">
        <v>0</v>
      </c>
      <c r="E16">
        <f t="shared" si="0"/>
        <v>70.441245121700007</v>
      </c>
      <c r="F16">
        <f t="shared" si="1"/>
        <v>0</v>
      </c>
    </row>
    <row r="17" spans="1:6" x14ac:dyDescent="0.2">
      <c r="A17">
        <v>5</v>
      </c>
      <c r="B17">
        <v>237.812952043872</v>
      </c>
      <c r="C17">
        <v>0.36648459111093401</v>
      </c>
      <c r="D17">
        <v>0</v>
      </c>
      <c r="E17">
        <f t="shared" si="0"/>
        <v>87.154782490682592</v>
      </c>
      <c r="F17">
        <f t="shared" si="1"/>
        <v>0</v>
      </c>
    </row>
    <row r="18" spans="1:6" x14ac:dyDescent="0.2">
      <c r="A18">
        <v>5</v>
      </c>
      <c r="B18">
        <v>212.90441564540399</v>
      </c>
      <c r="C18">
        <v>0.33254221502412101</v>
      </c>
      <c r="D18">
        <v>0</v>
      </c>
      <c r="E18">
        <f t="shared" si="0"/>
        <v>70.799705967138763</v>
      </c>
      <c r="F18">
        <f t="shared" si="1"/>
        <v>0</v>
      </c>
    </row>
    <row r="19" spans="1:6" x14ac:dyDescent="0.2">
      <c r="A19">
        <v>5</v>
      </c>
      <c r="B19">
        <v>240.97137877061701</v>
      </c>
      <c r="C19">
        <v>0.19291565420847001</v>
      </c>
      <c r="D19">
        <v>0</v>
      </c>
      <c r="E19">
        <f t="shared" si="0"/>
        <v>46.487151181050599</v>
      </c>
      <c r="F19">
        <f t="shared" si="1"/>
        <v>0</v>
      </c>
    </row>
    <row r="20" spans="1:6" x14ac:dyDescent="0.2">
      <c r="A20">
        <v>5</v>
      </c>
      <c r="B20">
        <v>222.524653966784</v>
      </c>
      <c r="C20">
        <v>0.39735654344591897</v>
      </c>
      <c r="D20">
        <v>0</v>
      </c>
      <c r="E20">
        <f t="shared" si="0"/>
        <v>88.421627331740495</v>
      </c>
      <c r="F20">
        <f t="shared" si="1"/>
        <v>0</v>
      </c>
    </row>
    <row r="21" spans="1:6" x14ac:dyDescent="0.2">
      <c r="A21">
        <v>5</v>
      </c>
      <c r="B21">
        <v>240.56287278716701</v>
      </c>
      <c r="C21">
        <v>0</v>
      </c>
      <c r="D21">
        <v>0</v>
      </c>
      <c r="E21">
        <f t="shared" si="0"/>
        <v>0</v>
      </c>
      <c r="F21">
        <f t="shared" si="1"/>
        <v>0</v>
      </c>
    </row>
    <row r="22" spans="1:6" x14ac:dyDescent="0.2">
      <c r="A22">
        <v>5</v>
      </c>
      <c r="B22">
        <v>238.32008144940301</v>
      </c>
      <c r="C22">
        <v>0.37561340415533001</v>
      </c>
      <c r="D22">
        <v>0</v>
      </c>
      <c r="E22">
        <f t="shared" si="0"/>
        <v>89.516217071785775</v>
      </c>
      <c r="F22">
        <f t="shared" si="1"/>
        <v>0</v>
      </c>
    </row>
    <row r="23" spans="1:6" x14ac:dyDescent="0.2">
      <c r="A23">
        <v>5</v>
      </c>
      <c r="B23">
        <v>249.28010330715799</v>
      </c>
      <c r="C23">
        <v>0.25518501039875202</v>
      </c>
      <c r="D23">
        <v>0</v>
      </c>
      <c r="E23">
        <f t="shared" si="0"/>
        <v>63.612545754639086</v>
      </c>
      <c r="F23">
        <f t="shared" si="1"/>
        <v>0</v>
      </c>
    </row>
    <row r="24" spans="1:6" x14ac:dyDescent="0.2">
      <c r="A24">
        <v>7</v>
      </c>
      <c r="B24">
        <v>247.103505237208</v>
      </c>
      <c r="C24">
        <v>0.60866199894821205</v>
      </c>
      <c r="D24">
        <v>0</v>
      </c>
      <c r="E24">
        <f t="shared" si="0"/>
        <v>150.40251344478901</v>
      </c>
      <c r="F24">
        <f t="shared" si="1"/>
        <v>0</v>
      </c>
    </row>
    <row r="25" spans="1:6" x14ac:dyDescent="0.2">
      <c r="A25">
        <v>7</v>
      </c>
      <c r="B25">
        <v>250.29598624860199</v>
      </c>
      <c r="C25">
        <v>0.63029205593805304</v>
      </c>
      <c r="D25">
        <v>0</v>
      </c>
      <c r="E25">
        <f t="shared" si="0"/>
        <v>157.759571765674</v>
      </c>
      <c r="F25">
        <f t="shared" si="1"/>
        <v>0</v>
      </c>
    </row>
    <row r="26" spans="1:6" x14ac:dyDescent="0.2">
      <c r="A26">
        <v>7</v>
      </c>
      <c r="B26">
        <v>258.79282320394702</v>
      </c>
      <c r="C26">
        <v>0.51675977181775001</v>
      </c>
      <c r="D26">
        <v>0</v>
      </c>
      <c r="E26">
        <f t="shared" si="0"/>
        <v>133.73372026694298</v>
      </c>
      <c r="F26">
        <f t="shared" si="1"/>
        <v>0</v>
      </c>
    </row>
    <row r="27" spans="1:6" x14ac:dyDescent="0.2">
      <c r="A27">
        <v>7</v>
      </c>
      <c r="B27">
        <v>256.81756417504101</v>
      </c>
      <c r="C27">
        <v>0.50682990576435805</v>
      </c>
      <c r="D27">
        <v>0</v>
      </c>
      <c r="E27">
        <f t="shared" si="0"/>
        <v>130.162821849468</v>
      </c>
      <c r="F27">
        <f t="shared" si="1"/>
        <v>0</v>
      </c>
    </row>
    <row r="28" spans="1:6" x14ac:dyDescent="0.2">
      <c r="A28">
        <v>7</v>
      </c>
      <c r="B28">
        <v>254.90417634933399</v>
      </c>
      <c r="C28">
        <v>0.45518223744971997</v>
      </c>
      <c r="D28">
        <v>0</v>
      </c>
      <c r="E28">
        <f t="shared" si="0"/>
        <v>116.02785332596784</v>
      </c>
      <c r="F28">
        <f t="shared" si="1"/>
        <v>0</v>
      </c>
    </row>
    <row r="29" spans="1:6" x14ac:dyDescent="0.2">
      <c r="A29">
        <v>7</v>
      </c>
      <c r="B29">
        <v>236.049732124695</v>
      </c>
      <c r="C29">
        <v>0.28829895197886402</v>
      </c>
      <c r="D29">
        <v>0</v>
      </c>
      <c r="E29">
        <f t="shared" si="0"/>
        <v>68.052890386441163</v>
      </c>
      <c r="F29">
        <f t="shared" si="1"/>
        <v>0</v>
      </c>
    </row>
    <row r="30" spans="1:6" x14ac:dyDescent="0.2">
      <c r="A30">
        <v>7</v>
      </c>
      <c r="B30">
        <v>262.45531473578097</v>
      </c>
      <c r="C30">
        <v>0.49793628740068802</v>
      </c>
      <c r="D30">
        <v>0.113675460735308</v>
      </c>
      <c r="E30">
        <f t="shared" si="0"/>
        <v>130.68602502811387</v>
      </c>
      <c r="F30">
        <f t="shared" si="1"/>
        <v>29.834728825020175</v>
      </c>
    </row>
    <row r="31" spans="1:6" x14ac:dyDescent="0.2">
      <c r="A31">
        <v>7</v>
      </c>
      <c r="B31">
        <v>248.369978052655</v>
      </c>
      <c r="C31">
        <v>0.50296572613214596</v>
      </c>
      <c r="D31">
        <v>0</v>
      </c>
      <c r="E31">
        <f t="shared" si="0"/>
        <v>124.92158636067877</v>
      </c>
      <c r="F31">
        <f t="shared" si="1"/>
        <v>0</v>
      </c>
    </row>
    <row r="32" spans="1:6" x14ac:dyDescent="0.2">
      <c r="A32">
        <v>7</v>
      </c>
      <c r="B32">
        <v>246.87353542499099</v>
      </c>
      <c r="C32">
        <v>0.56679660271937404</v>
      </c>
      <c r="D32">
        <v>0</v>
      </c>
      <c r="E32">
        <f t="shared" si="0"/>
        <v>139.92708118020593</v>
      </c>
      <c r="F32">
        <f t="shared" si="1"/>
        <v>0</v>
      </c>
    </row>
    <row r="33" spans="1:6" x14ac:dyDescent="0.2">
      <c r="A33">
        <v>7</v>
      </c>
      <c r="B33">
        <v>242.816340679457</v>
      </c>
      <c r="C33">
        <v>0.245609475372564</v>
      </c>
      <c r="D33">
        <v>0</v>
      </c>
      <c r="E33">
        <f t="shared" si="0"/>
        <v>59.637994046167208</v>
      </c>
      <c r="F33">
        <f t="shared" si="1"/>
        <v>0</v>
      </c>
    </row>
    <row r="34" spans="1:6" x14ac:dyDescent="0.2">
      <c r="A34">
        <v>7</v>
      </c>
      <c r="B34">
        <v>262.506837637079</v>
      </c>
      <c r="C34">
        <v>0.583888969301815</v>
      </c>
      <c r="D34">
        <v>0.13168773379790399</v>
      </c>
      <c r="E34">
        <f t="shared" si="0"/>
        <v>153.27484686259297</v>
      </c>
      <c r="F34">
        <f t="shared" si="1"/>
        <v>34.568930554881263</v>
      </c>
    </row>
    <row r="35" spans="1:6" x14ac:dyDescent="0.2">
      <c r="A35">
        <v>7</v>
      </c>
      <c r="B35">
        <v>257.90864127139798</v>
      </c>
      <c r="C35">
        <v>0.519439244439728</v>
      </c>
      <c r="D35">
        <v>0</v>
      </c>
      <c r="E35">
        <f t="shared" si="0"/>
        <v>133.96786975649181</v>
      </c>
      <c r="F35">
        <f t="shared" si="1"/>
        <v>0</v>
      </c>
    </row>
    <row r="36" spans="1:6" x14ac:dyDescent="0.2">
      <c r="A36">
        <v>7</v>
      </c>
      <c r="B36">
        <v>263.70214035110399</v>
      </c>
      <c r="C36">
        <v>0.57858628707701798</v>
      </c>
      <c r="D36">
        <v>0.15497191274525299</v>
      </c>
      <c r="E36">
        <f t="shared" si="0"/>
        <v>152.57444228000793</v>
      </c>
      <c r="F36">
        <f t="shared" si="1"/>
        <v>40.866425085227746</v>
      </c>
    </row>
    <row r="37" spans="1:6" x14ac:dyDescent="0.2">
      <c r="A37">
        <v>7</v>
      </c>
      <c r="B37">
        <v>254.987120634115</v>
      </c>
      <c r="C37">
        <v>0.63326654396707605</v>
      </c>
      <c r="D37">
        <v>0.124824022195685</v>
      </c>
      <c r="E37">
        <f t="shared" si="0"/>
        <v>161.47481264008192</v>
      </c>
      <c r="F37">
        <f t="shared" si="1"/>
        <v>31.828518005646579</v>
      </c>
    </row>
    <row r="38" spans="1:6" x14ac:dyDescent="0.2">
      <c r="A38">
        <v>7</v>
      </c>
      <c r="B38">
        <v>255.42454289159201</v>
      </c>
      <c r="C38">
        <v>0.52444527534543095</v>
      </c>
      <c r="D38">
        <v>0.120395380782684</v>
      </c>
      <c r="E38">
        <f t="shared" si="0"/>
        <v>133.95619472676182</v>
      </c>
      <c r="F38">
        <f t="shared" si="1"/>
        <v>30.751935102676221</v>
      </c>
    </row>
    <row r="39" spans="1:6" x14ac:dyDescent="0.2">
      <c r="A39">
        <v>7</v>
      </c>
      <c r="B39">
        <v>255.339814745604</v>
      </c>
      <c r="C39">
        <v>0.37324860874344301</v>
      </c>
      <c r="D39">
        <v>0</v>
      </c>
      <c r="E39">
        <f t="shared" si="0"/>
        <v>95.305230610605165</v>
      </c>
      <c r="F39">
        <f t="shared" si="1"/>
        <v>0</v>
      </c>
    </row>
    <row r="40" spans="1:6" x14ac:dyDescent="0.2">
      <c r="A40">
        <v>7</v>
      </c>
      <c r="B40">
        <v>262.548048678236</v>
      </c>
      <c r="C40">
        <v>0.590109735859359</v>
      </c>
      <c r="D40">
        <v>0.117372174166246</v>
      </c>
      <c r="E40">
        <f t="shared" si="0"/>
        <v>154.93215965590397</v>
      </c>
      <c r="F40">
        <f t="shared" si="1"/>
        <v>30.815835296469949</v>
      </c>
    </row>
    <row r="41" spans="1:6" x14ac:dyDescent="0.2">
      <c r="A41">
        <v>7</v>
      </c>
      <c r="B41">
        <v>254.29670316024399</v>
      </c>
      <c r="C41">
        <v>0.51966377835878896</v>
      </c>
      <c r="D41">
        <v>0.15528882311504</v>
      </c>
      <c r="E41">
        <f t="shared" si="0"/>
        <v>132.14878558843577</v>
      </c>
      <c r="F41">
        <f t="shared" si="1"/>
        <v>39.489435755788961</v>
      </c>
    </row>
    <row r="42" spans="1:6" x14ac:dyDescent="0.2">
      <c r="A42">
        <v>10</v>
      </c>
      <c r="B42">
        <v>275.56989387443701</v>
      </c>
      <c r="C42">
        <v>0.76437135168191395</v>
      </c>
      <c r="D42">
        <v>0.28213847473175202</v>
      </c>
      <c r="E42">
        <f t="shared" si="0"/>
        <v>210.63773226364501</v>
      </c>
      <c r="F42">
        <f t="shared" si="1"/>
        <v>77.748869539724438</v>
      </c>
    </row>
    <row r="43" spans="1:6" x14ac:dyDescent="0.2">
      <c r="A43">
        <v>10</v>
      </c>
      <c r="B43">
        <v>273.91688470369797</v>
      </c>
      <c r="C43">
        <v>0.78130000226086005</v>
      </c>
      <c r="D43">
        <v>0.27552168382041797</v>
      </c>
      <c r="E43">
        <f t="shared" si="0"/>
        <v>214.01126263828698</v>
      </c>
      <c r="F43">
        <f t="shared" si="1"/>
        <v>75.470041300406152</v>
      </c>
    </row>
    <row r="44" spans="1:6" x14ac:dyDescent="0.2">
      <c r="A44">
        <v>10</v>
      </c>
      <c r="B44">
        <v>265.01083925878601</v>
      </c>
      <c r="C44">
        <v>0.71175996085169302</v>
      </c>
      <c r="D44">
        <v>0.17681939550529099</v>
      </c>
      <c r="E44">
        <f t="shared" si="0"/>
        <v>188.62410457610784</v>
      </c>
      <c r="F44">
        <f t="shared" si="1"/>
        <v>46.859056400088377</v>
      </c>
    </row>
    <row r="45" spans="1:6" x14ac:dyDescent="0.2">
      <c r="A45">
        <v>10</v>
      </c>
      <c r="B45">
        <v>267.379231818888</v>
      </c>
      <c r="C45">
        <v>0.58884876083178495</v>
      </c>
      <c r="D45">
        <v>0.146263287495979</v>
      </c>
      <c r="E45">
        <f t="shared" si="0"/>
        <v>157.44592932870677</v>
      </c>
      <c r="F45">
        <f t="shared" si="1"/>
        <v>39.107765453980029</v>
      </c>
    </row>
    <row r="46" spans="1:6" x14ac:dyDescent="0.2">
      <c r="A46">
        <v>10</v>
      </c>
      <c r="B46">
        <v>288.25702393916299</v>
      </c>
      <c r="C46">
        <v>0.73119784954558698</v>
      </c>
      <c r="D46">
        <v>0.33292668708446199</v>
      </c>
      <c r="E46">
        <f t="shared" si="0"/>
        <v>210.77291602072677</v>
      </c>
      <c r="F46">
        <f t="shared" si="1"/>
        <v>95.968456008891991</v>
      </c>
    </row>
    <row r="47" spans="1:6" x14ac:dyDescent="0.2">
      <c r="A47">
        <v>10</v>
      </c>
      <c r="B47">
        <v>282.73373484527798</v>
      </c>
      <c r="C47">
        <v>0.66561656851638296</v>
      </c>
      <c r="D47">
        <v>0.27878898677887198</v>
      </c>
      <c r="E47">
        <f t="shared" si="0"/>
        <v>188.19225839153484</v>
      </c>
      <c r="F47">
        <f t="shared" si="1"/>
        <v>78.823051465721306</v>
      </c>
    </row>
    <row r="48" spans="1:6" x14ac:dyDescent="0.2">
      <c r="A48">
        <v>10</v>
      </c>
      <c r="B48">
        <v>244.49960005869201</v>
      </c>
      <c r="C48">
        <v>0.30603695740963699</v>
      </c>
      <c r="D48">
        <v>0</v>
      </c>
      <c r="E48">
        <f t="shared" si="0"/>
        <v>74.825913689835204</v>
      </c>
      <c r="F48">
        <f t="shared" si="1"/>
        <v>0</v>
      </c>
    </row>
    <row r="49" spans="1:6" x14ac:dyDescent="0.2">
      <c r="A49">
        <v>10</v>
      </c>
      <c r="B49">
        <v>300.81615776282598</v>
      </c>
      <c r="C49">
        <v>0.68138593040742101</v>
      </c>
      <c r="D49">
        <v>0.291242852317664</v>
      </c>
      <c r="E49">
        <f t="shared" si="0"/>
        <v>204.97189753880872</v>
      </c>
      <c r="F49">
        <f t="shared" si="1"/>
        <v>87.610555810085842</v>
      </c>
    </row>
    <row r="50" spans="1:6" x14ac:dyDescent="0.2">
      <c r="A50">
        <v>10</v>
      </c>
      <c r="B50">
        <v>291.64237327208701</v>
      </c>
      <c r="C50">
        <v>0.79674936350590198</v>
      </c>
      <c r="D50">
        <v>0.31607597477844201</v>
      </c>
      <c r="E50">
        <f t="shared" si="0"/>
        <v>232.365875275886</v>
      </c>
      <c r="F50">
        <f t="shared" si="1"/>
        <v>92.181147418673149</v>
      </c>
    </row>
    <row r="51" spans="1:6" x14ac:dyDescent="0.2">
      <c r="A51">
        <v>10</v>
      </c>
      <c r="B51">
        <v>292.64731694041302</v>
      </c>
      <c r="C51">
        <v>0.61417261785908195</v>
      </c>
      <c r="D51">
        <v>0.318516515427469</v>
      </c>
      <c r="E51">
        <f t="shared" si="0"/>
        <v>179.73596875472992</v>
      </c>
      <c r="F51">
        <f t="shared" si="1"/>
        <v>93.213003641058478</v>
      </c>
    </row>
    <row r="52" spans="1:6" x14ac:dyDescent="0.2">
      <c r="A52">
        <v>10</v>
      </c>
      <c r="B52">
        <v>293.53827035240198</v>
      </c>
      <c r="C52">
        <v>0.66819161433867102</v>
      </c>
      <c r="D52">
        <v>0.226616261613379</v>
      </c>
      <c r="E52">
        <f t="shared" si="0"/>
        <v>196.13981073695274</v>
      </c>
      <c r="F52">
        <f t="shared" si="1"/>
        <v>66.520545467718705</v>
      </c>
    </row>
    <row r="53" spans="1:6" x14ac:dyDescent="0.2">
      <c r="A53">
        <v>10</v>
      </c>
      <c r="B53">
        <v>299.98043179262299</v>
      </c>
      <c r="C53">
        <v>0.75025133564230195</v>
      </c>
      <c r="D53">
        <v>0.27790201504596801</v>
      </c>
      <c r="E53">
        <f t="shared" si="0"/>
        <v>225.06071961896987</v>
      </c>
      <c r="F53">
        <f t="shared" si="1"/>
        <v>83.365166469529498</v>
      </c>
    </row>
    <row r="54" spans="1:6" x14ac:dyDescent="0.2">
      <c r="A54">
        <v>10</v>
      </c>
      <c r="B54">
        <v>291.02287148878099</v>
      </c>
      <c r="C54">
        <v>0.63664150153935695</v>
      </c>
      <c r="D54">
        <v>0.208696549438219</v>
      </c>
      <c r="E54">
        <f t="shared" si="0"/>
        <v>185.27723788691284</v>
      </c>
      <c r="F54">
        <f t="shared" si="1"/>
        <v>60.73546908731084</v>
      </c>
    </row>
    <row r="55" spans="1:6" x14ac:dyDescent="0.2">
      <c r="A55">
        <v>10</v>
      </c>
      <c r="B55">
        <v>302.54001867982203</v>
      </c>
      <c r="C55">
        <v>0.69576422575028096</v>
      </c>
      <c r="D55">
        <v>0.23417958679734099</v>
      </c>
      <c r="E55">
        <f t="shared" si="0"/>
        <v>210.49652185524192</v>
      </c>
      <c r="F55">
        <f t="shared" si="1"/>
        <v>70.84869656410055</v>
      </c>
    </row>
    <row r="56" spans="1:6" x14ac:dyDescent="0.2">
      <c r="A56">
        <v>10</v>
      </c>
      <c r="B56">
        <v>300.50374886384799</v>
      </c>
      <c r="C56">
        <v>0.763433691527309</v>
      </c>
      <c r="D56">
        <v>0.26991592514358498</v>
      </c>
      <c r="E56">
        <f t="shared" si="0"/>
        <v>229.41468631292287</v>
      </c>
      <c r="F56">
        <f t="shared" si="1"/>
        <v>81.110747383701053</v>
      </c>
    </row>
    <row r="57" spans="1:6" x14ac:dyDescent="0.2">
      <c r="A57">
        <v>10</v>
      </c>
      <c r="B57">
        <v>283.64455892167302</v>
      </c>
      <c r="C57">
        <v>0.56919289134738904</v>
      </c>
      <c r="D57">
        <v>0.173874304710703</v>
      </c>
      <c r="E57">
        <f t="shared" si="0"/>
        <v>161.44846660758193</v>
      </c>
      <c r="F57">
        <f t="shared" si="1"/>
        <v>49.318500467479929</v>
      </c>
    </row>
    <row r="58" spans="1:6" x14ac:dyDescent="0.2">
      <c r="A58">
        <v>10</v>
      </c>
      <c r="B58">
        <v>292.19156485644999</v>
      </c>
      <c r="C58">
        <v>0.72498661183341095</v>
      </c>
      <c r="D58">
        <v>0.25602729279423603</v>
      </c>
      <c r="E58">
        <f t="shared" si="0"/>
        <v>211.83497261158001</v>
      </c>
      <c r="F58">
        <f t="shared" si="1"/>
        <v>74.80901532750832</v>
      </c>
    </row>
    <row r="59" spans="1:6" x14ac:dyDescent="0.2">
      <c r="A59">
        <v>10</v>
      </c>
      <c r="B59">
        <v>276.67233814233202</v>
      </c>
      <c r="C59">
        <v>0.47889309651786799</v>
      </c>
      <c r="D59">
        <v>0</v>
      </c>
      <c r="E59">
        <f t="shared" si="0"/>
        <v>132.49647273382001</v>
      </c>
      <c r="F59">
        <f t="shared" si="1"/>
        <v>0</v>
      </c>
    </row>
    <row r="60" spans="1:6" x14ac:dyDescent="0.2">
      <c r="A60">
        <v>10</v>
      </c>
      <c r="B60">
        <v>305.36412057983398</v>
      </c>
      <c r="C60">
        <v>0.64520269686508502</v>
      </c>
      <c r="D60">
        <v>0.285837065214195</v>
      </c>
      <c r="E60">
        <f t="shared" si="0"/>
        <v>197.02175412394391</v>
      </c>
      <c r="F60">
        <f t="shared" si="1"/>
        <v>87.284384048253315</v>
      </c>
    </row>
    <row r="61" spans="1:6" x14ac:dyDescent="0.2">
      <c r="A61">
        <v>10</v>
      </c>
      <c r="B61">
        <v>283.103974836193</v>
      </c>
      <c r="C61">
        <v>0.59378683527750697</v>
      </c>
      <c r="D61">
        <v>0.159669643059098</v>
      </c>
      <c r="E61">
        <f t="shared" si="0"/>
        <v>168.10341327246601</v>
      </c>
      <c r="F61">
        <f t="shared" si="1"/>
        <v>45.203110610706801</v>
      </c>
    </row>
    <row r="62" spans="1:6" x14ac:dyDescent="0.2">
      <c r="A62">
        <v>10</v>
      </c>
      <c r="B62">
        <v>312.00428631792499</v>
      </c>
      <c r="C62">
        <v>0.67676769337973897</v>
      </c>
      <c r="D62">
        <v>0.26098498019782801</v>
      </c>
      <c r="E62">
        <f t="shared" si="0"/>
        <v>211.15442117597374</v>
      </c>
      <c r="F62">
        <f t="shared" si="1"/>
        <v>81.428432486321114</v>
      </c>
    </row>
    <row r="63" spans="1:6" x14ac:dyDescent="0.2">
      <c r="A63">
        <v>10</v>
      </c>
      <c r="B63">
        <v>299.88779399967598</v>
      </c>
      <c r="C63">
        <v>0.65522948736250697</v>
      </c>
      <c r="D63">
        <v>0.31645766753364601</v>
      </c>
      <c r="E63">
        <f t="shared" si="0"/>
        <v>196.49532552868078</v>
      </c>
      <c r="F63">
        <f t="shared" si="1"/>
        <v>94.901791810947984</v>
      </c>
    </row>
    <row r="64" spans="1:6" x14ac:dyDescent="0.2">
      <c r="A64">
        <v>10</v>
      </c>
      <c r="B64">
        <v>308.04502688040998</v>
      </c>
      <c r="C64">
        <v>0.67704533725702598</v>
      </c>
      <c r="D64">
        <v>0.27304776967806599</v>
      </c>
      <c r="E64">
        <f t="shared" si="0"/>
        <v>208.56044911459682</v>
      </c>
      <c r="F64">
        <f t="shared" si="1"/>
        <v>84.111007550115829</v>
      </c>
    </row>
    <row r="65" spans="1:6" x14ac:dyDescent="0.2">
      <c r="A65">
        <v>10</v>
      </c>
      <c r="B65">
        <v>302.92257836593598</v>
      </c>
      <c r="C65">
        <v>0.66058414064474003</v>
      </c>
      <c r="D65">
        <v>0.28815949770344601</v>
      </c>
      <c r="E65">
        <f t="shared" si="0"/>
        <v>200.10585111175072</v>
      </c>
      <c r="F65">
        <f t="shared" si="1"/>
        <v>87.290018024960872</v>
      </c>
    </row>
    <row r="66" spans="1:6" x14ac:dyDescent="0.2">
      <c r="A66">
        <v>10</v>
      </c>
      <c r="B66">
        <v>305.62731594917301</v>
      </c>
      <c r="C66">
        <v>0.68641527005486103</v>
      </c>
      <c r="D66">
        <v>0.29158384410473898</v>
      </c>
      <c r="E66">
        <f t="shared" si="0"/>
        <v>209.78725661339394</v>
      </c>
      <c r="F66">
        <f t="shared" si="1"/>
        <v>89.115987647873467</v>
      </c>
    </row>
    <row r="67" spans="1:6" x14ac:dyDescent="0.2">
      <c r="A67">
        <v>12</v>
      </c>
      <c r="B67">
        <v>308.22138253608898</v>
      </c>
      <c r="C67">
        <v>0.85841657401556304</v>
      </c>
      <c r="D67">
        <v>0.43978550694363799</v>
      </c>
      <c r="E67">
        <f t="shared" si="0"/>
        <v>264.58234323496981</v>
      </c>
      <c r="F67">
        <f t="shared" si="1"/>
        <v>135.55129696950286</v>
      </c>
    </row>
    <row r="68" spans="1:6" x14ac:dyDescent="0.2">
      <c r="A68">
        <v>12</v>
      </c>
      <c r="B68">
        <v>302.34408437231099</v>
      </c>
      <c r="C68">
        <v>0.76094531620815997</v>
      </c>
      <c r="D68">
        <v>0.33780971944016103</v>
      </c>
      <c r="E68">
        <f t="shared" si="0"/>
        <v>230.06731488635478</v>
      </c>
      <c r="F68">
        <f t="shared" si="1"/>
        <v>102.13477031620275</v>
      </c>
    </row>
    <row r="69" spans="1:6" x14ac:dyDescent="0.2">
      <c r="A69">
        <v>12</v>
      </c>
      <c r="B69">
        <v>297.54760181278402</v>
      </c>
      <c r="C69">
        <v>0.83341477653115303</v>
      </c>
      <c r="D69">
        <v>0.391324338504839</v>
      </c>
      <c r="E69">
        <f t="shared" si="0"/>
        <v>247.98056807218191</v>
      </c>
      <c r="F69">
        <f t="shared" si="1"/>
        <v>116.43761845308894</v>
      </c>
    </row>
    <row r="70" spans="1:6" x14ac:dyDescent="0.2">
      <c r="A70">
        <v>12</v>
      </c>
      <c r="B70">
        <v>300.91504686895598</v>
      </c>
      <c r="C70">
        <v>0.78976424800063205</v>
      </c>
      <c r="D70">
        <v>0.36185744127104102</v>
      </c>
      <c r="E70">
        <f t="shared" ref="E70:E133" si="2">C70*B70</f>
        <v>237.65194570253598</v>
      </c>
      <c r="F70">
        <f t="shared" ref="F70:F133" si="3">D70*B70</f>
        <v>108.8883488999558</v>
      </c>
    </row>
    <row r="71" spans="1:6" x14ac:dyDescent="0.2">
      <c r="A71">
        <v>12</v>
      </c>
      <c r="B71">
        <v>300.86846679382802</v>
      </c>
      <c r="C71">
        <v>0.78252426164875999</v>
      </c>
      <c r="D71">
        <v>0.31670671329904698</v>
      </c>
      <c r="E71">
        <f t="shared" si="2"/>
        <v>235.43687483123475</v>
      </c>
      <c r="F71">
        <f t="shared" si="3"/>
        <v>95.287063253596727</v>
      </c>
    </row>
    <row r="72" spans="1:6" x14ac:dyDescent="0.2">
      <c r="A72">
        <v>12</v>
      </c>
      <c r="B72">
        <v>297.51041244291298</v>
      </c>
      <c r="C72">
        <v>0.68290292000401098</v>
      </c>
      <c r="D72">
        <v>0.27362837952698099</v>
      </c>
      <c r="E72">
        <f t="shared" si="2"/>
        <v>203.17072938886292</v>
      </c>
      <c r="F72">
        <f t="shared" si="3"/>
        <v>81.407292049158045</v>
      </c>
    </row>
    <row r="73" spans="1:6" x14ac:dyDescent="0.2">
      <c r="A73">
        <v>12</v>
      </c>
      <c r="B73">
        <v>304.744272935987</v>
      </c>
      <c r="C73">
        <v>0.75883300593083203</v>
      </c>
      <c r="D73">
        <v>0.36322664596036902</v>
      </c>
      <c r="E73">
        <f t="shared" si="2"/>
        <v>231.25001267222092</v>
      </c>
      <c r="F73">
        <f t="shared" si="3"/>
        <v>110.69124013416982</v>
      </c>
    </row>
    <row r="74" spans="1:6" x14ac:dyDescent="0.2">
      <c r="A74">
        <v>12</v>
      </c>
      <c r="B74">
        <v>318.743736618821</v>
      </c>
      <c r="C74">
        <v>0.790105379496995</v>
      </c>
      <c r="D74">
        <v>0.354262886436706</v>
      </c>
      <c r="E74">
        <f t="shared" si="2"/>
        <v>251.84114098350378</v>
      </c>
      <c r="F74">
        <f t="shared" si="3"/>
        <v>112.91907616820471</v>
      </c>
    </row>
    <row r="75" spans="1:6" x14ac:dyDescent="0.2">
      <c r="A75">
        <v>12</v>
      </c>
      <c r="B75">
        <v>313.412574760057</v>
      </c>
      <c r="C75">
        <v>0.76162439465087295</v>
      </c>
      <c r="D75">
        <v>0.36116328495477701</v>
      </c>
      <c r="E75">
        <f t="shared" si="2"/>
        <v>238.70266252759987</v>
      </c>
      <c r="F75">
        <f t="shared" si="3"/>
        <v>113.19311504647682</v>
      </c>
    </row>
    <row r="76" spans="1:6" x14ac:dyDescent="0.2">
      <c r="A76">
        <v>12</v>
      </c>
      <c r="B76">
        <v>317.95977570342598</v>
      </c>
      <c r="C76">
        <v>0.74450129486655403</v>
      </c>
      <c r="D76">
        <v>0.34912034807291098</v>
      </c>
      <c r="E76">
        <f t="shared" si="2"/>
        <v>236.72146472667973</v>
      </c>
      <c r="F76">
        <f t="shared" si="3"/>
        <v>111.00622756676478</v>
      </c>
    </row>
    <row r="77" spans="1:6" x14ac:dyDescent="0.2">
      <c r="A77">
        <v>12</v>
      </c>
      <c r="B77">
        <v>327.98715687754299</v>
      </c>
      <c r="C77">
        <v>0.759531883436243</v>
      </c>
      <c r="D77">
        <v>0.35545704984669302</v>
      </c>
      <c r="E77">
        <f t="shared" si="2"/>
        <v>249.11670300609873</v>
      </c>
      <c r="F77">
        <f t="shared" si="3"/>
        <v>116.58534717129592</v>
      </c>
    </row>
    <row r="78" spans="1:6" x14ac:dyDescent="0.2">
      <c r="A78">
        <v>12</v>
      </c>
      <c r="B78">
        <v>303.79311022736198</v>
      </c>
      <c r="C78">
        <v>0.78490874594080595</v>
      </c>
      <c r="D78">
        <v>0.37095108327548898</v>
      </c>
      <c r="E78">
        <f t="shared" si="2"/>
        <v>238.44986917401573</v>
      </c>
      <c r="F78">
        <f t="shared" si="3"/>
        <v>112.69238333046995</v>
      </c>
    </row>
    <row r="79" spans="1:6" x14ac:dyDescent="0.2">
      <c r="A79">
        <v>12</v>
      </c>
      <c r="B79">
        <v>310.892677314548</v>
      </c>
      <c r="C79">
        <v>0.76836159134958404</v>
      </c>
      <c r="D79">
        <v>0.34217596217051799</v>
      </c>
      <c r="E79">
        <f t="shared" si="2"/>
        <v>238.87799228033882</v>
      </c>
      <c r="F79">
        <f t="shared" si="3"/>
        <v>106.38000099187383</v>
      </c>
    </row>
    <row r="80" spans="1:6" x14ac:dyDescent="0.2">
      <c r="A80">
        <v>12</v>
      </c>
      <c r="B80">
        <v>310.79458943919599</v>
      </c>
      <c r="C80">
        <v>0.72717910993203505</v>
      </c>
      <c r="D80">
        <v>0.34022512945750299</v>
      </c>
      <c r="E80">
        <f t="shared" si="2"/>
        <v>226.00333292008679</v>
      </c>
      <c r="F80">
        <f t="shared" si="3"/>
        <v>105.74012942664194</v>
      </c>
    </row>
    <row r="81" spans="1:6" x14ac:dyDescent="0.2">
      <c r="A81">
        <v>12</v>
      </c>
      <c r="B81">
        <v>289.94446292407298</v>
      </c>
      <c r="C81">
        <v>0.64049748166616605</v>
      </c>
      <c r="D81">
        <v>0.27162965735294697</v>
      </c>
      <c r="E81">
        <f t="shared" si="2"/>
        <v>185.70869832591779</v>
      </c>
      <c r="F81">
        <f t="shared" si="3"/>
        <v>78.757515115450175</v>
      </c>
    </row>
    <row r="82" spans="1:6" x14ac:dyDescent="0.2">
      <c r="A82">
        <v>12</v>
      </c>
      <c r="B82">
        <v>310.10314102325202</v>
      </c>
      <c r="C82">
        <v>0.77673837499913001</v>
      </c>
      <c r="D82">
        <v>0.34756415045518402</v>
      </c>
      <c r="E82">
        <f t="shared" si="2"/>
        <v>240.86900984052681</v>
      </c>
      <c r="F82">
        <f t="shared" si="3"/>
        <v>107.78073476323071</v>
      </c>
    </row>
    <row r="83" spans="1:6" x14ac:dyDescent="0.2">
      <c r="A83">
        <v>12</v>
      </c>
      <c r="B83">
        <v>310.68143352066801</v>
      </c>
      <c r="C83">
        <v>0.70009996430141697</v>
      </c>
      <c r="D83">
        <v>0.33854040212671399</v>
      </c>
      <c r="E83">
        <f t="shared" si="2"/>
        <v>217.50806051693272</v>
      </c>
      <c r="F83">
        <f t="shared" si="3"/>
        <v>105.17821743739091</v>
      </c>
    </row>
    <row r="84" spans="1:6" x14ac:dyDescent="0.2">
      <c r="A84">
        <v>12</v>
      </c>
      <c r="B84">
        <v>317.33896100426</v>
      </c>
      <c r="C84">
        <v>0.77508662732215206</v>
      </c>
      <c r="D84">
        <v>0.366685777867505</v>
      </c>
      <c r="E84">
        <f t="shared" si="2"/>
        <v>245.96518500270781</v>
      </c>
      <c r="F84">
        <f t="shared" si="3"/>
        <v>116.36368376351291</v>
      </c>
    </row>
    <row r="85" spans="1:6" x14ac:dyDescent="0.2">
      <c r="A85">
        <v>12</v>
      </c>
      <c r="B85">
        <v>327.82893519407799</v>
      </c>
      <c r="C85">
        <v>0.74772906892949897</v>
      </c>
      <c r="D85">
        <v>0.36185950755018598</v>
      </c>
      <c r="E85">
        <f t="shared" si="2"/>
        <v>245.12722448081698</v>
      </c>
      <c r="F85">
        <f t="shared" si="3"/>
        <v>118.62801705003089</v>
      </c>
    </row>
    <row r="86" spans="1:6" x14ac:dyDescent="0.2">
      <c r="A86">
        <v>12</v>
      </c>
      <c r="B86">
        <v>321.26710948762798</v>
      </c>
      <c r="C86">
        <v>0.80507053722647903</v>
      </c>
      <c r="D86">
        <v>0.383094573037908</v>
      </c>
      <c r="E86">
        <f t="shared" si="2"/>
        <v>258.64268442840273</v>
      </c>
      <c r="F86">
        <f t="shared" si="3"/>
        <v>123.07568614028568</v>
      </c>
    </row>
    <row r="87" spans="1:6" x14ac:dyDescent="0.2">
      <c r="A87">
        <v>12</v>
      </c>
      <c r="B87">
        <v>309.982593730274</v>
      </c>
      <c r="C87">
        <v>0.73988088455154699</v>
      </c>
      <c r="D87">
        <v>0.33198459947832998</v>
      </c>
      <c r="E87">
        <f t="shared" si="2"/>
        <v>229.35019564473797</v>
      </c>
      <c r="F87">
        <f t="shared" si="3"/>
        <v>102.9094472247989</v>
      </c>
    </row>
    <row r="88" spans="1:6" x14ac:dyDescent="0.2">
      <c r="A88">
        <v>12</v>
      </c>
      <c r="B88">
        <v>320.20301879703601</v>
      </c>
      <c r="C88">
        <v>0.71884278052018602</v>
      </c>
      <c r="D88">
        <v>0.34426570233890103</v>
      </c>
      <c r="E88">
        <f t="shared" si="2"/>
        <v>230.17562836301875</v>
      </c>
      <c r="F88">
        <f t="shared" si="3"/>
        <v>110.23491715719793</v>
      </c>
    </row>
    <row r="89" spans="1:6" x14ac:dyDescent="0.2">
      <c r="A89">
        <v>12</v>
      </c>
      <c r="B89">
        <v>321.83145416967199</v>
      </c>
      <c r="C89">
        <v>0.75174527730884499</v>
      </c>
      <c r="D89">
        <v>0.36190841866183499</v>
      </c>
      <c r="E89">
        <f t="shared" si="2"/>
        <v>241.9352757614889</v>
      </c>
      <c r="F89">
        <f t="shared" si="3"/>
        <v>116.4735126541848</v>
      </c>
    </row>
    <row r="90" spans="1:6" x14ac:dyDescent="0.2">
      <c r="A90">
        <v>14</v>
      </c>
      <c r="B90">
        <v>304.52795674597002</v>
      </c>
      <c r="C90">
        <v>0.80041187348705201</v>
      </c>
      <c r="D90">
        <v>0.44326298473445902</v>
      </c>
      <c r="E90">
        <f t="shared" si="2"/>
        <v>243.7477923882258</v>
      </c>
      <c r="F90">
        <f t="shared" si="3"/>
        <v>134.9859710423049</v>
      </c>
    </row>
    <row r="91" spans="1:6" x14ac:dyDescent="0.2">
      <c r="A91">
        <v>14</v>
      </c>
      <c r="B91">
        <v>316.63462433388401</v>
      </c>
      <c r="C91">
        <v>0.79889913944111202</v>
      </c>
      <c r="D91">
        <v>0.45832451705537303</v>
      </c>
      <c r="E91">
        <f t="shared" si="2"/>
        <v>252.95912889759973</v>
      </c>
      <c r="F91">
        <f t="shared" si="3"/>
        <v>145.12141128083684</v>
      </c>
    </row>
    <row r="92" spans="1:6" x14ac:dyDescent="0.2">
      <c r="A92">
        <v>14</v>
      </c>
      <c r="B92">
        <v>312.898274220345</v>
      </c>
      <c r="C92">
        <v>0.80421210741466698</v>
      </c>
      <c r="D92">
        <v>0.48214870725524001</v>
      </c>
      <c r="E92">
        <f t="shared" si="2"/>
        <v>251.63658051715601</v>
      </c>
      <c r="F92">
        <f t="shared" si="3"/>
        <v>150.86349841773495</v>
      </c>
    </row>
    <row r="93" spans="1:6" x14ac:dyDescent="0.2">
      <c r="A93">
        <v>14</v>
      </c>
      <c r="B93">
        <v>318.44968789091803</v>
      </c>
      <c r="C93">
        <v>0.77400932781827803</v>
      </c>
      <c r="D93">
        <v>0.43862660894109001</v>
      </c>
      <c r="E93">
        <f t="shared" si="2"/>
        <v>246.48302886838991</v>
      </c>
      <c r="F93">
        <f t="shared" si="3"/>
        <v>139.68050671794188</v>
      </c>
    </row>
    <row r="94" spans="1:6" x14ac:dyDescent="0.2">
      <c r="A94">
        <v>14</v>
      </c>
      <c r="B94">
        <v>307.01760360258498</v>
      </c>
      <c r="C94">
        <v>0.78822147746545501</v>
      </c>
      <c r="D94">
        <v>0.421140542837249</v>
      </c>
      <c r="E94">
        <f t="shared" si="2"/>
        <v>241.99786911953294</v>
      </c>
      <c r="F94">
        <f t="shared" si="3"/>
        <v>129.29756024178397</v>
      </c>
    </row>
    <row r="95" spans="1:6" x14ac:dyDescent="0.2">
      <c r="A95">
        <v>14</v>
      </c>
      <c r="B95">
        <v>312.41146244733397</v>
      </c>
      <c r="C95">
        <v>0.80419378769557603</v>
      </c>
      <c r="D95">
        <v>0.40805797282359502</v>
      </c>
      <c r="E95">
        <f t="shared" si="2"/>
        <v>251.23935730503572</v>
      </c>
      <c r="F95">
        <f t="shared" si="3"/>
        <v>127.48198805311378</v>
      </c>
    </row>
    <row r="96" spans="1:6" x14ac:dyDescent="0.2">
      <c r="A96">
        <v>14</v>
      </c>
      <c r="B96">
        <v>308.313908935565</v>
      </c>
      <c r="C96">
        <v>0.81069342293380897</v>
      </c>
      <c r="D96">
        <v>0.45844973074161599</v>
      </c>
      <c r="E96">
        <f t="shared" si="2"/>
        <v>249.94805817307585</v>
      </c>
      <c r="F96">
        <f t="shared" si="3"/>
        <v>141.3464285354049</v>
      </c>
    </row>
    <row r="97" spans="1:6" x14ac:dyDescent="0.2">
      <c r="A97">
        <v>14</v>
      </c>
      <c r="B97">
        <v>312.61288525459099</v>
      </c>
      <c r="C97">
        <v>0.76258224606026204</v>
      </c>
      <c r="D97">
        <v>0.39757293692290802</v>
      </c>
      <c r="E97">
        <f t="shared" si="2"/>
        <v>238.39303618482498</v>
      </c>
      <c r="F97">
        <f t="shared" si="3"/>
        <v>124.28642291061179</v>
      </c>
    </row>
    <row r="98" spans="1:6" x14ac:dyDescent="0.2">
      <c r="A98">
        <v>14</v>
      </c>
      <c r="B98">
        <v>313.639227011456</v>
      </c>
      <c r="C98">
        <v>0.83504384189176595</v>
      </c>
      <c r="D98">
        <v>0.47362575077504898</v>
      </c>
      <c r="E98">
        <f t="shared" si="2"/>
        <v>261.90250509160995</v>
      </c>
      <c r="F98">
        <f t="shared" si="3"/>
        <v>148.54761436580688</v>
      </c>
    </row>
    <row r="99" spans="1:6" x14ac:dyDescent="0.2">
      <c r="A99">
        <v>14</v>
      </c>
      <c r="B99">
        <v>310.22918970920301</v>
      </c>
      <c r="C99">
        <v>0.76633884400575503</v>
      </c>
      <c r="D99">
        <v>0.35808414798933202</v>
      </c>
      <c r="E99">
        <f t="shared" si="2"/>
        <v>237.74067861859271</v>
      </c>
      <c r="F99">
        <f t="shared" si="3"/>
        <v>111.08815507844081</v>
      </c>
    </row>
    <row r="100" spans="1:6" x14ac:dyDescent="0.2">
      <c r="A100">
        <v>14</v>
      </c>
      <c r="B100">
        <v>332.972901353662</v>
      </c>
      <c r="C100">
        <v>0.80724434473040896</v>
      </c>
      <c r="D100">
        <v>0.44370265672477099</v>
      </c>
      <c r="E100">
        <f t="shared" si="2"/>
        <v>268.79049156622</v>
      </c>
      <c r="F100">
        <f t="shared" si="3"/>
        <v>147.74096094797491</v>
      </c>
    </row>
    <row r="101" spans="1:6" x14ac:dyDescent="0.2">
      <c r="A101">
        <v>14</v>
      </c>
      <c r="B101">
        <v>350.80618946289201</v>
      </c>
      <c r="C101">
        <v>0.795943740007651</v>
      </c>
      <c r="D101">
        <v>0.44721627612503101</v>
      </c>
      <c r="E101">
        <f t="shared" si="2"/>
        <v>279.22199045892688</v>
      </c>
      <c r="F101">
        <f t="shared" si="3"/>
        <v>156.88623769320665</v>
      </c>
    </row>
    <row r="102" spans="1:6" x14ac:dyDescent="0.2">
      <c r="A102">
        <v>14</v>
      </c>
      <c r="B102">
        <v>335.58346080508602</v>
      </c>
      <c r="C102">
        <v>0.80192608483953698</v>
      </c>
      <c r="D102">
        <v>0.421113101840212</v>
      </c>
      <c r="E102">
        <f t="shared" si="2"/>
        <v>269.11313086032482</v>
      </c>
      <c r="F102">
        <f t="shared" si="3"/>
        <v>141.31859210590298</v>
      </c>
    </row>
    <row r="103" spans="1:6" x14ac:dyDescent="0.2">
      <c r="A103">
        <v>14</v>
      </c>
      <c r="B103">
        <v>325.97180952121101</v>
      </c>
      <c r="C103">
        <v>0.79641501771856504</v>
      </c>
      <c r="D103">
        <v>0.45999792739808298</v>
      </c>
      <c r="E103">
        <f t="shared" si="2"/>
        <v>259.60884445558798</v>
      </c>
      <c r="F103">
        <f t="shared" si="3"/>
        <v>149.94635676995975</v>
      </c>
    </row>
    <row r="104" spans="1:6" x14ac:dyDescent="0.2">
      <c r="A104">
        <v>14</v>
      </c>
      <c r="B104">
        <v>311.7535734045</v>
      </c>
      <c r="C104">
        <v>0.72040551339506798</v>
      </c>
      <c r="D104">
        <v>0.38056508595805</v>
      </c>
      <c r="E104">
        <f t="shared" si="2"/>
        <v>224.58899310121583</v>
      </c>
      <c r="F104">
        <f t="shared" si="3"/>
        <v>118.6425254604128</v>
      </c>
    </row>
    <row r="105" spans="1:6" x14ac:dyDescent="0.2">
      <c r="A105">
        <v>16</v>
      </c>
      <c r="B105">
        <v>316.06022258198198</v>
      </c>
      <c r="C105">
        <v>0.85982093363096301</v>
      </c>
      <c r="D105">
        <v>0.55715076447169998</v>
      </c>
      <c r="E105">
        <f t="shared" si="2"/>
        <v>271.75519566404972</v>
      </c>
      <c r="F105">
        <f t="shared" si="3"/>
        <v>176.09319463064691</v>
      </c>
    </row>
    <row r="106" spans="1:6" x14ac:dyDescent="0.2">
      <c r="A106">
        <v>16</v>
      </c>
      <c r="B106">
        <v>298.991089698689</v>
      </c>
      <c r="C106">
        <v>0.798588466853559</v>
      </c>
      <c r="D106">
        <v>0.48214651361059901</v>
      </c>
      <c r="E106">
        <f t="shared" si="2"/>
        <v>238.77083592535098</v>
      </c>
      <c r="F106">
        <f t="shared" si="3"/>
        <v>144.15751149885679</v>
      </c>
    </row>
    <row r="107" spans="1:6" x14ac:dyDescent="0.2">
      <c r="A107">
        <v>16</v>
      </c>
      <c r="B107">
        <v>304.59658112782898</v>
      </c>
      <c r="C107">
        <v>0.84030535304023801</v>
      </c>
      <c r="D107">
        <v>0.54462869104149803</v>
      </c>
      <c r="E107">
        <f t="shared" si="2"/>
        <v>255.95413763946982</v>
      </c>
      <c r="F107">
        <f t="shared" si="3"/>
        <v>165.89203727536497</v>
      </c>
    </row>
    <row r="108" spans="1:6" x14ac:dyDescent="0.2">
      <c r="A108">
        <v>16</v>
      </c>
      <c r="B108">
        <v>302.08291226495402</v>
      </c>
      <c r="C108">
        <v>0.82282783809105797</v>
      </c>
      <c r="D108">
        <v>0.524942253651005</v>
      </c>
      <c r="E108">
        <f t="shared" si="2"/>
        <v>248.56222962322286</v>
      </c>
      <c r="F108">
        <f t="shared" si="3"/>
        <v>158.57608475382378</v>
      </c>
    </row>
    <row r="109" spans="1:6" x14ac:dyDescent="0.2">
      <c r="A109">
        <v>16</v>
      </c>
      <c r="B109">
        <v>309.78104816974297</v>
      </c>
      <c r="C109">
        <v>0.78852424118229902</v>
      </c>
      <c r="D109">
        <v>0.55483058472300495</v>
      </c>
      <c r="E109">
        <f t="shared" si="2"/>
        <v>244.2698659407038</v>
      </c>
      <c r="F109">
        <f t="shared" si="3"/>
        <v>171.87600009212386</v>
      </c>
    </row>
    <row r="110" spans="1:6" x14ac:dyDescent="0.2">
      <c r="A110">
        <v>16</v>
      </c>
      <c r="B110">
        <v>304.51342253969699</v>
      </c>
      <c r="C110">
        <v>0.86337966292161505</v>
      </c>
      <c r="D110">
        <v>0.52125114500258396</v>
      </c>
      <c r="E110">
        <f t="shared" si="2"/>
        <v>262.91069610743091</v>
      </c>
      <c r="F110">
        <f t="shared" si="3"/>
        <v>158.72797016747271</v>
      </c>
    </row>
    <row r="111" spans="1:6" x14ac:dyDescent="0.2">
      <c r="A111">
        <v>16</v>
      </c>
      <c r="B111">
        <v>289.45132726060501</v>
      </c>
      <c r="C111">
        <v>0.83594014019268503</v>
      </c>
      <c r="D111">
        <v>0.54481548750896602</v>
      </c>
      <c r="E111">
        <f t="shared" si="2"/>
        <v>241.9639830891889</v>
      </c>
      <c r="F111">
        <f t="shared" si="3"/>
        <v>157.69756597160378</v>
      </c>
    </row>
    <row r="112" spans="1:6" x14ac:dyDescent="0.2">
      <c r="A112">
        <v>16</v>
      </c>
      <c r="B112">
        <v>300.51356769689602</v>
      </c>
      <c r="C112">
        <v>0.82934283222668703</v>
      </c>
      <c r="D112">
        <v>0.52483285500937804</v>
      </c>
      <c r="E112">
        <f t="shared" si="2"/>
        <v>249.22877335628999</v>
      </c>
      <c r="F112">
        <f t="shared" si="3"/>
        <v>157.71939370341593</v>
      </c>
    </row>
    <row r="113" spans="1:6" x14ac:dyDescent="0.2">
      <c r="A113">
        <v>16</v>
      </c>
      <c r="B113">
        <v>313.289376600455</v>
      </c>
      <c r="C113">
        <v>0.67008234459726002</v>
      </c>
      <c r="D113">
        <v>0.34432048693515799</v>
      </c>
      <c r="E113">
        <f t="shared" si="2"/>
        <v>209.92968000984686</v>
      </c>
      <c r="F113">
        <f t="shared" si="3"/>
        <v>107.87195070268076</v>
      </c>
    </row>
    <row r="114" spans="1:6" x14ac:dyDescent="0.2">
      <c r="A114">
        <v>16</v>
      </c>
      <c r="B114">
        <v>324.36870934269803</v>
      </c>
      <c r="C114">
        <v>0.79003433422703995</v>
      </c>
      <c r="D114">
        <v>0.41654832003171299</v>
      </c>
      <c r="E114">
        <f t="shared" si="2"/>
        <v>256.26241732964269</v>
      </c>
      <c r="F114">
        <f t="shared" si="3"/>
        <v>135.11524094755586</v>
      </c>
    </row>
    <row r="115" spans="1:6" x14ac:dyDescent="0.2">
      <c r="A115">
        <v>16</v>
      </c>
      <c r="B115">
        <v>336.21739321413401</v>
      </c>
      <c r="C115">
        <v>0.73789721213832005</v>
      </c>
      <c r="D115">
        <v>0.50515255551937099</v>
      </c>
      <c r="E115">
        <f t="shared" si="2"/>
        <v>248.09387712512282</v>
      </c>
      <c r="F115">
        <f t="shared" si="3"/>
        <v>169.84107539218101</v>
      </c>
    </row>
    <row r="116" spans="1:6" x14ac:dyDescent="0.2">
      <c r="A116">
        <v>16</v>
      </c>
      <c r="B116">
        <v>307.32019054335899</v>
      </c>
      <c r="C116">
        <v>0.78201775366612403</v>
      </c>
      <c r="D116">
        <v>0.44559694051267101</v>
      </c>
      <c r="E116">
        <f t="shared" si="2"/>
        <v>240.3298450649628</v>
      </c>
      <c r="F116">
        <f t="shared" si="3"/>
        <v>136.94093666389185</v>
      </c>
    </row>
    <row r="117" spans="1:6" x14ac:dyDescent="0.2">
      <c r="A117">
        <v>16</v>
      </c>
      <c r="B117">
        <v>315.04723141749901</v>
      </c>
      <c r="C117">
        <v>0.85949266321339102</v>
      </c>
      <c r="D117">
        <v>0.44444637125436298</v>
      </c>
      <c r="E117">
        <f t="shared" si="2"/>
        <v>270.78078396903175</v>
      </c>
      <c r="F117">
        <f t="shared" si="3"/>
        <v>140.02159877724097</v>
      </c>
    </row>
    <row r="118" spans="1:6" x14ac:dyDescent="0.2">
      <c r="A118">
        <v>16</v>
      </c>
      <c r="B118">
        <v>315.91548604631299</v>
      </c>
      <c r="C118">
        <v>0.793485197246105</v>
      </c>
      <c r="D118">
        <v>0.44698876867190501</v>
      </c>
      <c r="E118">
        <f t="shared" si="2"/>
        <v>250.6742617585578</v>
      </c>
      <c r="F118">
        <f t="shared" si="3"/>
        <v>141.21067411222782</v>
      </c>
    </row>
    <row r="119" spans="1:6" x14ac:dyDescent="0.2">
      <c r="A119">
        <v>16</v>
      </c>
      <c r="B119">
        <v>310.67510190228802</v>
      </c>
      <c r="C119">
        <v>0.75201935175784396</v>
      </c>
      <c r="D119">
        <v>0.42510951930056901</v>
      </c>
      <c r="E119">
        <f t="shared" si="2"/>
        <v>233.63368873986076</v>
      </c>
      <c r="F119">
        <f t="shared" si="3"/>
        <v>132.07094322833694</v>
      </c>
    </row>
    <row r="120" spans="1:6" x14ac:dyDescent="0.2">
      <c r="A120">
        <v>16</v>
      </c>
      <c r="B120">
        <v>317.24596653758101</v>
      </c>
      <c r="C120">
        <v>0.76484021815534198</v>
      </c>
      <c r="D120">
        <v>0.42100805849633099</v>
      </c>
      <c r="E120">
        <f t="shared" si="2"/>
        <v>242.64247425550579</v>
      </c>
      <c r="F120">
        <f t="shared" si="3"/>
        <v>133.56310843777896</v>
      </c>
    </row>
    <row r="121" spans="1:6" x14ac:dyDescent="0.2">
      <c r="A121">
        <v>16</v>
      </c>
      <c r="B121">
        <v>305.07813154515901</v>
      </c>
      <c r="C121">
        <v>0.74985674136997604</v>
      </c>
      <c r="D121">
        <v>0.36703523215710998</v>
      </c>
      <c r="E121">
        <f t="shared" si="2"/>
        <v>228.76489358369383</v>
      </c>
      <c r="F121">
        <f t="shared" si="3"/>
        <v>111.97442283773478</v>
      </c>
    </row>
    <row r="122" spans="1:6" x14ac:dyDescent="0.2">
      <c r="A122">
        <v>18</v>
      </c>
      <c r="B122">
        <v>310.97017648874601</v>
      </c>
      <c r="C122">
        <v>0.85688633007247295</v>
      </c>
      <c r="D122">
        <v>0.61799779729490201</v>
      </c>
      <c r="E122">
        <f t="shared" si="2"/>
        <v>266.46609329343079</v>
      </c>
      <c r="F122">
        <f t="shared" si="3"/>
        <v>192.17888409445194</v>
      </c>
    </row>
    <row r="123" spans="1:6" x14ac:dyDescent="0.2">
      <c r="A123">
        <v>18</v>
      </c>
      <c r="B123">
        <v>312.55860829168199</v>
      </c>
      <c r="C123">
        <v>0.83498769949978102</v>
      </c>
      <c r="D123">
        <v>0.59872154310831704</v>
      </c>
      <c r="E123">
        <f t="shared" si="2"/>
        <v>260.98259329632475</v>
      </c>
      <c r="F123">
        <f t="shared" si="3"/>
        <v>187.13557226818386</v>
      </c>
    </row>
    <row r="124" spans="1:6" x14ac:dyDescent="0.2">
      <c r="A124">
        <v>18</v>
      </c>
      <c r="B124">
        <v>301.69113769022402</v>
      </c>
      <c r="C124">
        <v>0.81939889137669697</v>
      </c>
      <c r="D124">
        <v>0.60296526111897597</v>
      </c>
      <c r="E124">
        <f t="shared" si="2"/>
        <v>247.205383761544</v>
      </c>
      <c r="F124">
        <f t="shared" si="3"/>
        <v>181.90927561466685</v>
      </c>
    </row>
    <row r="125" spans="1:6" x14ac:dyDescent="0.2">
      <c r="A125">
        <v>18</v>
      </c>
      <c r="B125">
        <v>323.70929542520997</v>
      </c>
      <c r="C125">
        <v>0.83516948160845506</v>
      </c>
      <c r="D125">
        <v>0.62471547768394098</v>
      </c>
      <c r="E125">
        <f t="shared" si="2"/>
        <v>270.35212445211084</v>
      </c>
      <c r="F125">
        <f t="shared" si="3"/>
        <v>202.22620712229201</v>
      </c>
    </row>
    <row r="126" spans="1:6" x14ac:dyDescent="0.2">
      <c r="A126">
        <v>18</v>
      </c>
      <c r="B126">
        <v>313.105666447045</v>
      </c>
      <c r="C126">
        <v>0.85359402416911201</v>
      </c>
      <c r="D126">
        <v>0.60389173449196298</v>
      </c>
      <c r="E126">
        <f t="shared" si="2"/>
        <v>267.26512581268486</v>
      </c>
      <c r="F126">
        <f t="shared" si="3"/>
        <v>189.08192398996803</v>
      </c>
    </row>
    <row r="127" spans="1:6" x14ac:dyDescent="0.2">
      <c r="A127">
        <v>18</v>
      </c>
      <c r="B127">
        <v>308.82947440023497</v>
      </c>
      <c r="C127">
        <v>0.843699705302146</v>
      </c>
      <c r="D127">
        <v>0.527927112511</v>
      </c>
      <c r="E127">
        <f t="shared" si="2"/>
        <v>260.55933654009488</v>
      </c>
      <c r="F127">
        <f t="shared" si="3"/>
        <v>163.03945267840584</v>
      </c>
    </row>
    <row r="128" spans="1:6" x14ac:dyDescent="0.2">
      <c r="A128">
        <v>18</v>
      </c>
      <c r="B128">
        <v>290.78281912322097</v>
      </c>
      <c r="C128">
        <v>0.86676044850196499</v>
      </c>
      <c r="D128">
        <v>0.54640213504988999</v>
      </c>
      <c r="E128">
        <f t="shared" si="2"/>
        <v>252.03904671990878</v>
      </c>
      <c r="F128">
        <f t="shared" si="3"/>
        <v>158.88435320475392</v>
      </c>
    </row>
    <row r="129" spans="1:6" x14ac:dyDescent="0.2">
      <c r="A129">
        <v>18</v>
      </c>
      <c r="B129">
        <v>320.12084190596403</v>
      </c>
      <c r="C129">
        <v>0.84937580858248796</v>
      </c>
      <c r="D129">
        <v>0.63279233434721804</v>
      </c>
      <c r="E129">
        <f t="shared" si="2"/>
        <v>271.90289893798501</v>
      </c>
      <c r="F129">
        <f t="shared" si="3"/>
        <v>202.57001482287171</v>
      </c>
    </row>
    <row r="130" spans="1:6" x14ac:dyDescent="0.2">
      <c r="A130">
        <v>18</v>
      </c>
      <c r="B130">
        <v>303.73806673794502</v>
      </c>
      <c r="C130">
        <v>0.86832209020775797</v>
      </c>
      <c r="D130">
        <v>0.66006638549638397</v>
      </c>
      <c r="E130">
        <f t="shared" si="2"/>
        <v>263.74247298555588</v>
      </c>
      <c r="F130">
        <f t="shared" si="3"/>
        <v>200.48728784937481</v>
      </c>
    </row>
    <row r="131" spans="1:6" x14ac:dyDescent="0.2">
      <c r="A131">
        <v>18</v>
      </c>
      <c r="B131">
        <v>317.03275133423301</v>
      </c>
      <c r="C131">
        <v>0.847819109874556</v>
      </c>
      <c r="D131">
        <v>0.65158861348852404</v>
      </c>
      <c r="E131">
        <f t="shared" si="2"/>
        <v>268.78642503727087</v>
      </c>
      <c r="F131">
        <f t="shared" si="3"/>
        <v>206.5749308723249</v>
      </c>
    </row>
    <row r="132" spans="1:6" x14ac:dyDescent="0.2">
      <c r="A132">
        <v>18</v>
      </c>
      <c r="B132">
        <v>311.447398762886</v>
      </c>
      <c r="C132">
        <v>0.78721239753493299</v>
      </c>
      <c r="D132">
        <v>0.62968952074747597</v>
      </c>
      <c r="E132">
        <f t="shared" si="2"/>
        <v>245.17525348614981</v>
      </c>
      <c r="F132">
        <f t="shared" si="3"/>
        <v>196.11516326504972</v>
      </c>
    </row>
    <row r="133" spans="1:6" x14ac:dyDescent="0.2">
      <c r="A133">
        <v>18</v>
      </c>
      <c r="B133">
        <v>301.35271083393701</v>
      </c>
      <c r="C133">
        <v>0.854583264060506</v>
      </c>
      <c r="D133">
        <v>0.56476664425864298</v>
      </c>
      <c r="E133">
        <f t="shared" si="2"/>
        <v>257.5309832579477</v>
      </c>
      <c r="F133">
        <f t="shared" si="3"/>
        <v>170.19395923592782</v>
      </c>
    </row>
    <row r="134" spans="1:6" x14ac:dyDescent="0.2">
      <c r="A134">
        <v>18</v>
      </c>
      <c r="B134">
        <v>315.75588773939302</v>
      </c>
      <c r="C134">
        <v>0.84929609028138298</v>
      </c>
      <c r="D134">
        <v>0.616330089512373</v>
      </c>
      <c r="E134">
        <f t="shared" ref="E134:E167" si="4">C134*B134</f>
        <v>268.17024094039374</v>
      </c>
      <c r="F134">
        <f t="shared" ref="F134:F167" si="5">D134*B134</f>
        <v>194.60985455447889</v>
      </c>
    </row>
    <row r="135" spans="1:6" x14ac:dyDescent="0.2">
      <c r="A135">
        <v>18</v>
      </c>
      <c r="B135">
        <v>340.54824751034403</v>
      </c>
      <c r="C135">
        <v>0.80886009076826904</v>
      </c>
      <c r="D135">
        <v>0.473644520071208</v>
      </c>
      <c r="E135">
        <f t="shared" si="4"/>
        <v>275.45588639219181</v>
      </c>
      <c r="F135">
        <f t="shared" si="5"/>
        <v>161.29881125312784</v>
      </c>
    </row>
    <row r="136" spans="1:6" x14ac:dyDescent="0.2">
      <c r="A136">
        <v>18</v>
      </c>
      <c r="B136">
        <v>339.024236179784</v>
      </c>
      <c r="C136">
        <v>0.879203026229185</v>
      </c>
      <c r="D136">
        <v>0.56488159844657904</v>
      </c>
      <c r="E136">
        <f t="shared" si="4"/>
        <v>298.07113441430403</v>
      </c>
      <c r="F136">
        <f t="shared" si="5"/>
        <v>191.50855244536692</v>
      </c>
    </row>
    <row r="137" spans="1:6" x14ac:dyDescent="0.2">
      <c r="A137">
        <v>18</v>
      </c>
      <c r="B137">
        <v>311.85924429809597</v>
      </c>
      <c r="C137">
        <v>0.75670580050584302</v>
      </c>
      <c r="D137">
        <v>0.454724832287076</v>
      </c>
      <c r="E137">
        <f t="shared" si="4"/>
        <v>235.98569910173796</v>
      </c>
      <c r="F137">
        <f t="shared" si="5"/>
        <v>141.81014256062596</v>
      </c>
    </row>
    <row r="138" spans="1:6" x14ac:dyDescent="0.2">
      <c r="A138">
        <v>18</v>
      </c>
      <c r="B138">
        <v>309.32033371862099</v>
      </c>
      <c r="C138">
        <v>0.81732058700738297</v>
      </c>
      <c r="D138">
        <v>0.50701927961373305</v>
      </c>
      <c r="E138">
        <f t="shared" si="4"/>
        <v>252.81387672822291</v>
      </c>
      <c r="F138">
        <f t="shared" si="5"/>
        <v>156.83137277189471</v>
      </c>
    </row>
    <row r="139" spans="1:6" x14ac:dyDescent="0.2">
      <c r="A139">
        <v>18</v>
      </c>
      <c r="B139">
        <v>332.28320427044503</v>
      </c>
      <c r="C139">
        <v>0.84529121221412096</v>
      </c>
      <c r="D139">
        <v>0.54172749156505196</v>
      </c>
      <c r="E139">
        <f t="shared" si="4"/>
        <v>280.87607253615687</v>
      </c>
      <c r="F139">
        <f t="shared" si="5"/>
        <v>180.00694673862594</v>
      </c>
    </row>
    <row r="140" spans="1:6" x14ac:dyDescent="0.2">
      <c r="A140">
        <v>18</v>
      </c>
      <c r="B140">
        <v>318.47130701435799</v>
      </c>
      <c r="C140">
        <v>0.78220349222350505</v>
      </c>
      <c r="D140">
        <v>0.31149977996210798</v>
      </c>
      <c r="E140">
        <f t="shared" si="4"/>
        <v>249.10936851961486</v>
      </c>
      <c r="F140">
        <f t="shared" si="5"/>
        <v>99.203742059217447</v>
      </c>
    </row>
    <row r="141" spans="1:6" x14ac:dyDescent="0.2">
      <c r="A141">
        <v>18</v>
      </c>
      <c r="B141">
        <v>343.99297302131902</v>
      </c>
      <c r="C141">
        <v>0.82417263956548703</v>
      </c>
      <c r="D141">
        <v>0.52650519941547802</v>
      </c>
      <c r="E141">
        <f t="shared" si="4"/>
        <v>283.50959656695989</v>
      </c>
      <c r="F141">
        <f t="shared" si="5"/>
        <v>181.11408885811272</v>
      </c>
    </row>
    <row r="142" spans="1:6" x14ac:dyDescent="0.2">
      <c r="A142">
        <v>18</v>
      </c>
      <c r="B142">
        <v>339.32291939828201</v>
      </c>
      <c r="C142">
        <v>0.85346591491912105</v>
      </c>
      <c r="D142">
        <v>0.53648113059567304</v>
      </c>
      <c r="E142">
        <f t="shared" si="4"/>
        <v>289.60054585728193</v>
      </c>
      <c r="F142">
        <f t="shared" si="5"/>
        <v>182.04034343581478</v>
      </c>
    </row>
    <row r="143" spans="1:6" x14ac:dyDescent="0.2">
      <c r="A143">
        <v>21</v>
      </c>
      <c r="B143">
        <v>335.23377356778099</v>
      </c>
      <c r="C143">
        <v>0.87499859614279196</v>
      </c>
      <c r="D143">
        <v>0.643504749081517</v>
      </c>
      <c r="E143">
        <f t="shared" si="4"/>
        <v>293.32908125145894</v>
      </c>
      <c r="F143">
        <f t="shared" si="5"/>
        <v>215.72452534338498</v>
      </c>
    </row>
    <row r="144" spans="1:6" x14ac:dyDescent="0.2">
      <c r="A144">
        <v>21</v>
      </c>
      <c r="B144">
        <v>337.66742595629</v>
      </c>
      <c r="C144">
        <v>0.88351255320089805</v>
      </c>
      <c r="D144">
        <v>0.67084659318141804</v>
      </c>
      <c r="E144">
        <f t="shared" si="4"/>
        <v>298.33340963941697</v>
      </c>
      <c r="F144">
        <f t="shared" si="5"/>
        <v>226.52304233111587</v>
      </c>
    </row>
    <row r="145" spans="1:6" x14ac:dyDescent="0.2">
      <c r="A145">
        <v>21</v>
      </c>
      <c r="B145">
        <v>330.22706385300802</v>
      </c>
      <c r="C145">
        <v>0.85335440135834295</v>
      </c>
      <c r="D145">
        <v>0.60173265108296403</v>
      </c>
      <c r="E145">
        <f t="shared" si="4"/>
        <v>281.80071838660695</v>
      </c>
      <c r="F145">
        <f t="shared" si="5"/>
        <v>198.70840659161377</v>
      </c>
    </row>
    <row r="146" spans="1:6" x14ac:dyDescent="0.2">
      <c r="A146">
        <v>21</v>
      </c>
      <c r="B146">
        <v>326.85166773581699</v>
      </c>
      <c r="C146">
        <v>0.866386579630542</v>
      </c>
      <c r="D146">
        <v>0.642649707574517</v>
      </c>
      <c r="E146">
        <f t="shared" si="4"/>
        <v>283.17989845617285</v>
      </c>
      <c r="F146">
        <f t="shared" si="5"/>
        <v>210.05112869066599</v>
      </c>
    </row>
    <row r="147" spans="1:6" x14ac:dyDescent="0.2">
      <c r="A147">
        <v>21</v>
      </c>
      <c r="B147">
        <v>321.759627877024</v>
      </c>
      <c r="C147">
        <v>0.87360921184224505</v>
      </c>
      <c r="D147">
        <v>0.65628525014794903</v>
      </c>
      <c r="E147">
        <f t="shared" si="4"/>
        <v>281.092174912301</v>
      </c>
      <c r="F147">
        <f t="shared" si="5"/>
        <v>211.16609786878368</v>
      </c>
    </row>
    <row r="148" spans="1:6" x14ac:dyDescent="0.2">
      <c r="A148">
        <v>24</v>
      </c>
      <c r="B148">
        <v>364.83428865053003</v>
      </c>
      <c r="C148">
        <v>0.91042598933722896</v>
      </c>
      <c r="D148">
        <v>0.80338030622291401</v>
      </c>
      <c r="E148">
        <f t="shared" si="4"/>
        <v>332.15461818880294</v>
      </c>
      <c r="F148">
        <f t="shared" si="5"/>
        <v>293.1006825366818</v>
      </c>
    </row>
    <row r="149" spans="1:6" x14ac:dyDescent="0.2">
      <c r="A149">
        <v>24</v>
      </c>
      <c r="B149">
        <v>348.17982424151501</v>
      </c>
      <c r="C149">
        <v>0.863918389393596</v>
      </c>
      <c r="D149">
        <v>0.75047007614824102</v>
      </c>
      <c r="E149">
        <f t="shared" si="4"/>
        <v>300.79895297807496</v>
      </c>
      <c r="F149">
        <f t="shared" si="5"/>
        <v>261.29853921181092</v>
      </c>
    </row>
    <row r="150" spans="1:6" x14ac:dyDescent="0.2">
      <c r="A150">
        <v>24</v>
      </c>
      <c r="B150">
        <v>373.38251549970801</v>
      </c>
      <c r="C150">
        <v>0.91864656311191695</v>
      </c>
      <c r="D150">
        <v>0.82930627867694595</v>
      </c>
      <c r="E150">
        <f t="shared" si="4"/>
        <v>343.0065645898888</v>
      </c>
      <c r="F150">
        <f t="shared" si="5"/>
        <v>309.64846445209992</v>
      </c>
    </row>
    <row r="151" spans="1:6" x14ac:dyDescent="0.2">
      <c r="A151">
        <v>24</v>
      </c>
      <c r="B151">
        <v>373.14997874660901</v>
      </c>
      <c r="C151">
        <v>0.88771258658240504</v>
      </c>
      <c r="D151">
        <v>0.78717693321957705</v>
      </c>
      <c r="E151">
        <f t="shared" si="4"/>
        <v>331.24993281632175</v>
      </c>
      <c r="F151">
        <f t="shared" si="5"/>
        <v>293.73505590070602</v>
      </c>
    </row>
    <row r="152" spans="1:6" x14ac:dyDescent="0.2">
      <c r="A152">
        <v>24</v>
      </c>
      <c r="B152">
        <v>379.37779772478001</v>
      </c>
      <c r="C152">
        <v>0.88443822322607002</v>
      </c>
      <c r="D152">
        <v>0.80733643595385096</v>
      </c>
      <c r="E152">
        <f t="shared" si="4"/>
        <v>335.53622535112385</v>
      </c>
      <c r="F152">
        <f t="shared" si="5"/>
        <v>306.28551909514488</v>
      </c>
    </row>
    <row r="153" spans="1:6" x14ac:dyDescent="0.2">
      <c r="A153">
        <v>24</v>
      </c>
      <c r="B153">
        <v>355.98076665888902</v>
      </c>
      <c r="C153">
        <v>0.87074562574674097</v>
      </c>
      <c r="D153">
        <v>0.78747205060487502</v>
      </c>
      <c r="E153">
        <f t="shared" si="4"/>
        <v>309.96869541819893</v>
      </c>
      <c r="F153">
        <f t="shared" si="5"/>
        <v>280.32490429677085</v>
      </c>
    </row>
    <row r="154" spans="1:6" x14ac:dyDescent="0.2">
      <c r="A154">
        <v>24</v>
      </c>
      <c r="B154">
        <v>356.16238264051901</v>
      </c>
      <c r="C154">
        <v>0.88097273477291604</v>
      </c>
      <c r="D154">
        <v>0.80215819174246605</v>
      </c>
      <c r="E154">
        <f t="shared" si="4"/>
        <v>313.7693482580558</v>
      </c>
      <c r="F154">
        <f t="shared" si="5"/>
        <v>285.69857282560702</v>
      </c>
    </row>
    <row r="155" spans="1:6" x14ac:dyDescent="0.2">
      <c r="A155">
        <v>24</v>
      </c>
      <c r="B155">
        <v>289.31367657892002</v>
      </c>
      <c r="C155">
        <v>0.896524000571985</v>
      </c>
      <c r="D155">
        <v>0.81257630428558503</v>
      </c>
      <c r="E155">
        <f t="shared" si="4"/>
        <v>259.37665474672281</v>
      </c>
      <c r="F155">
        <f t="shared" si="5"/>
        <v>235.08943809377385</v>
      </c>
    </row>
    <row r="156" spans="1:6" x14ac:dyDescent="0.2">
      <c r="A156">
        <v>24</v>
      </c>
      <c r="B156">
        <v>371.31953991849298</v>
      </c>
      <c r="C156">
        <v>0.90723636256545803</v>
      </c>
      <c r="D156">
        <v>0.762707452667018</v>
      </c>
      <c r="E156">
        <f t="shared" si="4"/>
        <v>336.87458874513294</v>
      </c>
      <c r="F156">
        <f t="shared" si="5"/>
        <v>283.20818041672288</v>
      </c>
    </row>
    <row r="157" spans="1:6" x14ac:dyDescent="0.2">
      <c r="A157">
        <v>24</v>
      </c>
      <c r="B157">
        <v>352.62178008850202</v>
      </c>
      <c r="C157">
        <v>0.89457767734309801</v>
      </c>
      <c r="D157">
        <v>0.80226311729986399</v>
      </c>
      <c r="E157">
        <f t="shared" si="4"/>
        <v>315.44757301216083</v>
      </c>
      <c r="F157">
        <f t="shared" si="5"/>
        <v>282.89544852162874</v>
      </c>
    </row>
    <row r="158" spans="1:6" x14ac:dyDescent="0.2">
      <c r="A158">
        <v>24</v>
      </c>
      <c r="B158">
        <v>316.23055326322202</v>
      </c>
      <c r="C158">
        <v>0.88120496201974596</v>
      </c>
      <c r="D158">
        <v>0.78464679689151795</v>
      </c>
      <c r="E158">
        <f t="shared" si="4"/>
        <v>278.6639326778008</v>
      </c>
      <c r="F158">
        <f t="shared" si="5"/>
        <v>248.12929069721972</v>
      </c>
    </row>
    <row r="159" spans="1:6" x14ac:dyDescent="0.2">
      <c r="A159">
        <v>24</v>
      </c>
      <c r="B159">
        <v>367.35163990735401</v>
      </c>
      <c r="C159">
        <v>0.878665220100459</v>
      </c>
      <c r="D159">
        <v>0.75973469846908603</v>
      </c>
      <c r="E159">
        <f t="shared" si="4"/>
        <v>322.77910953345975</v>
      </c>
      <c r="F159">
        <f t="shared" si="5"/>
        <v>279.0897873771379</v>
      </c>
    </row>
    <row r="160" spans="1:6" x14ac:dyDescent="0.2">
      <c r="A160">
        <v>24</v>
      </c>
      <c r="B160">
        <v>359.11737316269802</v>
      </c>
      <c r="C160">
        <v>0.82788550572086805</v>
      </c>
      <c r="D160">
        <v>0.68191209053674495</v>
      </c>
      <c r="E160">
        <f t="shared" si="4"/>
        <v>297.30806809394994</v>
      </c>
      <c r="F160">
        <f t="shared" si="5"/>
        <v>244.88647868143974</v>
      </c>
    </row>
    <row r="161" spans="1:6" x14ac:dyDescent="0.2">
      <c r="A161">
        <v>24</v>
      </c>
      <c r="B161">
        <v>368.73325872982798</v>
      </c>
      <c r="C161">
        <v>0.88502160149661702</v>
      </c>
      <c r="D161">
        <v>0.76058725131653004</v>
      </c>
      <c r="E161">
        <f t="shared" si="4"/>
        <v>326.33689916613878</v>
      </c>
      <c r="F161">
        <f t="shared" si="5"/>
        <v>280.45381572630674</v>
      </c>
    </row>
    <row r="162" spans="1:6" x14ac:dyDescent="0.2">
      <c r="A162">
        <v>24</v>
      </c>
      <c r="B162">
        <v>351.31328893609901</v>
      </c>
      <c r="C162">
        <v>0.81100415552418503</v>
      </c>
      <c r="D162">
        <v>0.77126493770787397</v>
      </c>
      <c r="E162">
        <f t="shared" si="4"/>
        <v>284.91653721804499</v>
      </c>
      <c r="F162">
        <f t="shared" si="5"/>
        <v>270.95562190724871</v>
      </c>
    </row>
    <row r="163" spans="1:6" x14ac:dyDescent="0.2">
      <c r="A163">
        <v>24</v>
      </c>
      <c r="B163">
        <v>367.75436819327302</v>
      </c>
      <c r="C163">
        <v>0.84725165631824395</v>
      </c>
      <c r="D163">
        <v>0.70637232371280501</v>
      </c>
      <c r="E163">
        <f t="shared" si="4"/>
        <v>311.58049757001987</v>
      </c>
      <c r="F163">
        <f t="shared" si="5"/>
        <v>259.77150761621675</v>
      </c>
    </row>
    <row r="164" spans="1:6" x14ac:dyDescent="0.2">
      <c r="A164">
        <v>24</v>
      </c>
      <c r="B164">
        <v>343.954371521778</v>
      </c>
      <c r="C164">
        <v>0.82318246117134597</v>
      </c>
      <c r="D164">
        <v>0.75913943068546597</v>
      </c>
      <c r="E164">
        <f t="shared" si="4"/>
        <v>283.13720607994071</v>
      </c>
      <c r="F164">
        <f t="shared" si="5"/>
        <v>261.10932577881982</v>
      </c>
    </row>
    <row r="165" spans="1:6" x14ac:dyDescent="0.2">
      <c r="A165">
        <v>24</v>
      </c>
      <c r="B165">
        <v>343.74341643438203</v>
      </c>
      <c r="C165">
        <v>0.89306253005624003</v>
      </c>
      <c r="D165">
        <v>0.78894364626342095</v>
      </c>
      <c r="E165">
        <f t="shared" si="4"/>
        <v>306.98436517106495</v>
      </c>
      <c r="F165">
        <f t="shared" si="5"/>
        <v>271.19418434078688</v>
      </c>
    </row>
    <row r="166" spans="1:6" x14ac:dyDescent="0.2">
      <c r="A166">
        <v>24</v>
      </c>
      <c r="B166">
        <v>372.66467626041498</v>
      </c>
      <c r="C166">
        <v>0.90611699347538199</v>
      </c>
      <c r="D166">
        <v>0.80531257872754303</v>
      </c>
      <c r="E166">
        <f t="shared" si="4"/>
        <v>337.67779602756377</v>
      </c>
      <c r="F166">
        <f t="shared" si="5"/>
        <v>300.11155143993977</v>
      </c>
    </row>
    <row r="167" spans="1:6" x14ac:dyDescent="0.2">
      <c r="A167">
        <v>24</v>
      </c>
      <c r="B167">
        <v>384.28547136036599</v>
      </c>
      <c r="C167">
        <v>0.89401806475075396</v>
      </c>
      <c r="D167">
        <v>0.79188282000436605</v>
      </c>
      <c r="E167">
        <f t="shared" si="4"/>
        <v>343.55815341742567</v>
      </c>
      <c r="F167">
        <f t="shared" si="5"/>
        <v>304.30906274755364</v>
      </c>
    </row>
  </sheetData>
  <sortState xmlns:xlrd2="http://schemas.microsoft.com/office/spreadsheetml/2017/richdata2" ref="A5:D167">
    <sortCondition ref="A5:A167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0157-BE78-554B-88F7-95AAA6FFBAE7}">
  <dimension ref="A1:K192"/>
  <sheetViews>
    <sheetView workbookViewId="0">
      <selection activeCell="H4" sqref="H4:K13"/>
    </sheetView>
  </sheetViews>
  <sheetFormatPr baseColWidth="10" defaultRowHeight="16" x14ac:dyDescent="0.2"/>
  <cols>
    <col min="5" max="6" width="14.1640625" bestFit="1" customWidth="1"/>
    <col min="9" max="9" width="13.33203125" bestFit="1" customWidth="1"/>
    <col min="10" max="11" width="21" bestFit="1" customWidth="1"/>
  </cols>
  <sheetData>
    <row r="1" spans="1:11" x14ac:dyDescent="0.2">
      <c r="A1" t="s">
        <v>4</v>
      </c>
      <c r="B1" t="s">
        <v>10</v>
      </c>
    </row>
    <row r="2" spans="1:11" x14ac:dyDescent="0.2">
      <c r="A2" t="s">
        <v>6</v>
      </c>
      <c r="B2">
        <v>5000</v>
      </c>
    </row>
    <row r="4" spans="1:11" x14ac:dyDescent="0.2">
      <c r="A4" t="s">
        <v>0</v>
      </c>
      <c r="B4" t="s">
        <v>1</v>
      </c>
      <c r="C4" t="s">
        <v>2</v>
      </c>
      <c r="D4" t="s">
        <v>3</v>
      </c>
      <c r="E4" t="s">
        <v>12</v>
      </c>
      <c r="F4" t="s">
        <v>11</v>
      </c>
      <c r="H4" t="s">
        <v>0</v>
      </c>
      <c r="I4" t="s">
        <v>13</v>
      </c>
      <c r="J4" t="s">
        <v>16</v>
      </c>
      <c r="K4" t="s">
        <v>15</v>
      </c>
    </row>
    <row r="5" spans="1:11" x14ac:dyDescent="0.2">
      <c r="A5">
        <v>4</v>
      </c>
      <c r="B5">
        <v>174.719416834203</v>
      </c>
      <c r="C5">
        <v>0.67518453610195805</v>
      </c>
      <c r="D5">
        <v>0</v>
      </c>
      <c r="E5">
        <f>C5*B5</f>
        <v>117.96784840320599</v>
      </c>
      <c r="F5">
        <f>D5*B5</f>
        <v>0</v>
      </c>
      <c r="H5">
        <v>4</v>
      </c>
      <c r="I5">
        <f>AVERAGEIF($A$5:$A$300, 4, $B$5:$B$300)</f>
        <v>179.466068387847</v>
      </c>
      <c r="J5">
        <f>AVERAGEIF($A$5:$A$300, 4, $E$5:$E$300)</f>
        <v>65.525471452990857</v>
      </c>
      <c r="K5">
        <f>AVERAGEIF($A$5:$A$300, 4, $F$5:$F$300)</f>
        <v>0</v>
      </c>
    </row>
    <row r="6" spans="1:11" x14ac:dyDescent="0.2">
      <c r="A6">
        <v>4</v>
      </c>
      <c r="B6">
        <v>189.13523393621099</v>
      </c>
      <c r="C6">
        <v>0</v>
      </c>
      <c r="D6">
        <v>0</v>
      </c>
      <c r="E6">
        <f t="shared" ref="E6:E69" si="0">C6*B6</f>
        <v>0</v>
      </c>
      <c r="F6">
        <f t="shared" ref="F6:F69" si="1">D6*B6</f>
        <v>0</v>
      </c>
      <c r="H6">
        <v>5</v>
      </c>
      <c r="I6">
        <f>AVERAGEIF($A$5:$A$300, 5, $B$5:$B$300)</f>
        <v>200.2411256329942</v>
      </c>
      <c r="J6">
        <f>AVERAGEIF($A$5:$A$300, 5, $E$5:$E$300)</f>
        <v>35.326465308386993</v>
      </c>
      <c r="K6">
        <f>AVERAGEIF($A$5:$A$300, 5, $F$5:$F$300)</f>
        <v>0</v>
      </c>
    </row>
    <row r="7" spans="1:11" x14ac:dyDescent="0.2">
      <c r="A7">
        <v>4</v>
      </c>
      <c r="B7">
        <v>203.68489097694501</v>
      </c>
      <c r="C7">
        <v>0.40260088559722901</v>
      </c>
      <c r="D7">
        <v>0</v>
      </c>
      <c r="E7">
        <f t="shared" si="0"/>
        <v>82.003717490093109</v>
      </c>
      <c r="F7">
        <f t="shared" si="1"/>
        <v>0</v>
      </c>
      <c r="H7">
        <v>7</v>
      </c>
      <c r="I7">
        <f>AVERAGEIF($A$5:$A$300, 7, $B$5:$B$300)</f>
        <v>212.40772210322211</v>
      </c>
      <c r="J7">
        <f>AVERAGEIF($A$5:$A$300, 7, $E$5:$E$300)</f>
        <v>59.207846398841859</v>
      </c>
      <c r="K7">
        <f>AVERAGEIF($A$5:$A$300, 7, $F$5:$F$300)</f>
        <v>0</v>
      </c>
    </row>
    <row r="8" spans="1:11" x14ac:dyDescent="0.2">
      <c r="A8">
        <v>4</v>
      </c>
      <c r="B8">
        <v>188.324860951348</v>
      </c>
      <c r="C8">
        <v>8.75552621126683E-2</v>
      </c>
      <c r="D8">
        <v>0</v>
      </c>
      <c r="E8">
        <f t="shared" si="0"/>
        <v>16.488832562927087</v>
      </c>
      <c r="F8">
        <f t="shared" si="1"/>
        <v>0</v>
      </c>
      <c r="H8">
        <v>10</v>
      </c>
      <c r="I8">
        <f>AVERAGEIF($A$5:$A$300, 10, $B$5:$B$300)</f>
        <v>239.5594440722767</v>
      </c>
      <c r="J8">
        <f>AVERAGEIF($A$5:$A$300, 10, $E$5:$E$300)</f>
        <v>90.727840235380185</v>
      </c>
      <c r="K8">
        <f>AVERAGEIF($A$5:$A$300, 10, $F$5:$F$300)</f>
        <v>0</v>
      </c>
    </row>
    <row r="9" spans="1:11" x14ac:dyDescent="0.2">
      <c r="A9">
        <v>4</v>
      </c>
      <c r="B9">
        <v>181.133094766554</v>
      </c>
      <c r="C9">
        <v>0.60412487036891005</v>
      </c>
      <c r="D9">
        <v>0</v>
      </c>
      <c r="E9">
        <f t="shared" si="0"/>
        <v>109.42700739536393</v>
      </c>
      <c r="F9">
        <f t="shared" si="1"/>
        <v>0</v>
      </c>
      <c r="H9">
        <v>12</v>
      </c>
      <c r="I9">
        <f ca="1">AVERAGEIF($A$5:$A$300, 12, $B$5:$B$155)</f>
        <v>268.16466180459878</v>
      </c>
      <c r="J9">
        <f ca="1">AVERAGEIF($A$5:$A$300, 12, $E$5:$E$155)</f>
        <v>167.72973399540265</v>
      </c>
      <c r="K9">
        <f ca="1">AVERAGEIF($A$5:$A$300, 12, $F$5:$F$155)</f>
        <v>6.5423844193669565</v>
      </c>
    </row>
    <row r="10" spans="1:11" x14ac:dyDescent="0.2">
      <c r="A10">
        <v>4</v>
      </c>
      <c r="B10">
        <v>173.01812167434801</v>
      </c>
      <c r="C10">
        <v>0.62439381263850502</v>
      </c>
      <c r="D10">
        <v>0</v>
      </c>
      <c r="E10">
        <f t="shared" si="0"/>
        <v>108.03144464779892</v>
      </c>
      <c r="F10">
        <f t="shared" si="1"/>
        <v>0</v>
      </c>
      <c r="H10">
        <v>14</v>
      </c>
      <c r="I10">
        <f>AVERAGEIF($A$5:$A$300, 14, $B$5:$B$300)</f>
        <v>294.88579623372073</v>
      </c>
      <c r="J10">
        <f>AVERAGEIF($A$5:$A$300, 14, $E$5:$E$300)</f>
        <v>218.20058241909277</v>
      </c>
      <c r="K10">
        <f>AVERAGEIF($A$5:$A$300, 14, $F$5:$F$300)</f>
        <v>79.976119123174541</v>
      </c>
    </row>
    <row r="11" spans="1:11" x14ac:dyDescent="0.2">
      <c r="A11">
        <v>4</v>
      </c>
      <c r="B11">
        <v>173.85458613922299</v>
      </c>
      <c r="C11">
        <v>0.67171974561079495</v>
      </c>
      <c r="D11">
        <v>0</v>
      </c>
      <c r="E11">
        <f t="shared" si="0"/>
        <v>116.78155837470891</v>
      </c>
      <c r="F11">
        <f t="shared" si="1"/>
        <v>0</v>
      </c>
      <c r="H11">
        <v>16</v>
      </c>
      <c r="I11">
        <f>AVERAGEIF($A$5:$A$300, 16, $B$5:$B$300)</f>
        <v>297.49522734352416</v>
      </c>
      <c r="J11">
        <f>AVERAGEIF($A$5:$A$300, 16, $E$5:$E$300)</f>
        <v>233.2244878752837</v>
      </c>
      <c r="K11">
        <f>AVERAGEIF($A$5:$A$300, 16, $F$5:$F$300)</f>
        <v>124.74202064734867</v>
      </c>
    </row>
    <row r="12" spans="1:11" x14ac:dyDescent="0.2">
      <c r="A12">
        <v>4</v>
      </c>
      <c r="B12">
        <v>168.84063066915999</v>
      </c>
      <c r="C12">
        <v>0.47917311870678803</v>
      </c>
      <c r="D12">
        <v>0</v>
      </c>
      <c r="E12">
        <f t="shared" si="0"/>
        <v>80.903891562162357</v>
      </c>
      <c r="F12">
        <f t="shared" si="1"/>
        <v>0</v>
      </c>
      <c r="H12">
        <v>18</v>
      </c>
      <c r="I12">
        <f>AVERAGEIF($A$5:$A$300, 18, $B$5:$B$300)</f>
        <v>310.36097542513812</v>
      </c>
      <c r="J12">
        <f>AVERAGEIF($A$5:$A$300, 18, $E$5:$E$300)</f>
        <v>256.62667416025391</v>
      </c>
      <c r="K12">
        <f>AVERAGEIF($A$5:$A$300, 18, $F$5:$F$300)</f>
        <v>155.83375136161911</v>
      </c>
    </row>
    <row r="13" spans="1:11" x14ac:dyDescent="0.2">
      <c r="A13">
        <v>4</v>
      </c>
      <c r="B13">
        <v>177.03183021699101</v>
      </c>
      <c r="C13">
        <v>0</v>
      </c>
      <c r="D13">
        <v>0</v>
      </c>
      <c r="E13">
        <f t="shared" si="0"/>
        <v>0</v>
      </c>
      <c r="F13">
        <f t="shared" si="1"/>
        <v>0</v>
      </c>
      <c r="H13">
        <v>21</v>
      </c>
      <c r="I13">
        <f>AVERAGEIF($A$5:$A$300, 21, $B$5:$B$300)</f>
        <v>342.5555107495594</v>
      </c>
      <c r="J13">
        <f>AVERAGEIF($A$5:$A$300, 21, $E$5:$E$300)</f>
        <v>293.72158719630909</v>
      </c>
      <c r="K13">
        <f>AVERAGEIF($A$5:$A$300, 21, $F$5:$F$300)</f>
        <v>202.10220480623843</v>
      </c>
    </row>
    <row r="14" spans="1:11" x14ac:dyDescent="0.2">
      <c r="A14">
        <v>4</v>
      </c>
      <c r="B14">
        <v>166.75835100246701</v>
      </c>
      <c r="C14">
        <v>0.15060216501495299</v>
      </c>
      <c r="D14">
        <v>0</v>
      </c>
      <c r="E14">
        <f t="shared" si="0"/>
        <v>25.114168695294989</v>
      </c>
      <c r="F14">
        <f t="shared" si="1"/>
        <v>0</v>
      </c>
    </row>
    <row r="15" spans="1:11" x14ac:dyDescent="0.2">
      <c r="A15">
        <v>4</v>
      </c>
      <c r="B15">
        <v>176.657809588231</v>
      </c>
      <c r="C15">
        <v>0.73354916268002901</v>
      </c>
      <c r="D15">
        <v>0</v>
      </c>
      <c r="E15">
        <f t="shared" si="0"/>
        <v>129.58718830433486</v>
      </c>
      <c r="F15">
        <f t="shared" si="1"/>
        <v>0</v>
      </c>
    </row>
    <row r="16" spans="1:11" x14ac:dyDescent="0.2">
      <c r="A16">
        <v>4</v>
      </c>
      <c r="B16">
        <v>180.43399389848301</v>
      </c>
      <c r="C16">
        <v>0</v>
      </c>
      <c r="D16">
        <v>0</v>
      </c>
      <c r="E16">
        <f t="shared" si="0"/>
        <v>0</v>
      </c>
      <c r="F16">
        <f t="shared" si="1"/>
        <v>0</v>
      </c>
    </row>
    <row r="17" spans="1:6" x14ac:dyDescent="0.2">
      <c r="A17">
        <v>5</v>
      </c>
      <c r="B17">
        <v>193.53418125722399</v>
      </c>
      <c r="C17">
        <v>0.216795407485182</v>
      </c>
      <c r="D17">
        <v>0</v>
      </c>
      <c r="E17">
        <f t="shared" si="0"/>
        <v>41.957321687970946</v>
      </c>
      <c r="F17">
        <f t="shared" si="1"/>
        <v>0</v>
      </c>
    </row>
    <row r="18" spans="1:6" x14ac:dyDescent="0.2">
      <c r="A18">
        <v>5</v>
      </c>
      <c r="B18">
        <v>195.52373687457501</v>
      </c>
      <c r="C18">
        <v>0.14288621072471899</v>
      </c>
      <c r="D18">
        <v>0</v>
      </c>
      <c r="E18">
        <f t="shared" si="0"/>
        <v>27.937645868745033</v>
      </c>
      <c r="F18">
        <f t="shared" si="1"/>
        <v>0</v>
      </c>
    </row>
    <row r="19" spans="1:6" x14ac:dyDescent="0.2">
      <c r="A19">
        <v>5</v>
      </c>
      <c r="B19">
        <v>200.63930963878201</v>
      </c>
      <c r="C19">
        <v>0</v>
      </c>
      <c r="D19">
        <v>0</v>
      </c>
      <c r="E19">
        <f t="shared" si="0"/>
        <v>0</v>
      </c>
      <c r="F19">
        <f t="shared" si="1"/>
        <v>0</v>
      </c>
    </row>
    <row r="20" spans="1:6" x14ac:dyDescent="0.2">
      <c r="A20">
        <v>5</v>
      </c>
      <c r="B20">
        <v>199.63062408139001</v>
      </c>
      <c r="C20">
        <v>0.33381029336847901</v>
      </c>
      <c r="D20">
        <v>0</v>
      </c>
      <c r="E20">
        <f t="shared" si="0"/>
        <v>66.638757189941344</v>
      </c>
      <c r="F20">
        <f t="shared" si="1"/>
        <v>0</v>
      </c>
    </row>
    <row r="21" spans="1:6" x14ac:dyDescent="0.2">
      <c r="A21">
        <v>5</v>
      </c>
      <c r="B21">
        <v>204.24787219733599</v>
      </c>
      <c r="C21">
        <v>0.29008336499155501</v>
      </c>
      <c r="D21">
        <v>0</v>
      </c>
      <c r="E21">
        <f t="shared" si="0"/>
        <v>59.248910059368299</v>
      </c>
      <c r="F21">
        <f t="shared" si="1"/>
        <v>0</v>
      </c>
    </row>
    <row r="22" spans="1:6" x14ac:dyDescent="0.2">
      <c r="A22">
        <v>5</v>
      </c>
      <c r="B22">
        <v>200.875695307878</v>
      </c>
      <c r="C22">
        <v>0.28464143314728502</v>
      </c>
      <c r="D22">
        <v>0</v>
      </c>
      <c r="E22">
        <f t="shared" si="0"/>
        <v>57.177545796891749</v>
      </c>
      <c r="F22">
        <f t="shared" si="1"/>
        <v>0</v>
      </c>
    </row>
    <row r="23" spans="1:6" x14ac:dyDescent="0.2">
      <c r="A23">
        <v>5</v>
      </c>
      <c r="B23">
        <v>193.85408527393</v>
      </c>
      <c r="C23">
        <v>0.34642414623565299</v>
      </c>
      <c r="D23">
        <v>0</v>
      </c>
      <c r="E23">
        <f t="shared" si="0"/>
        <v>67.155735985314664</v>
      </c>
      <c r="F23">
        <f t="shared" si="1"/>
        <v>0</v>
      </c>
    </row>
    <row r="24" spans="1:6" x14ac:dyDescent="0.2">
      <c r="A24">
        <v>5</v>
      </c>
      <c r="B24">
        <v>195.51116065540401</v>
      </c>
      <c r="C24">
        <v>0.22742957504768499</v>
      </c>
      <c r="D24">
        <v>0</v>
      </c>
      <c r="E24">
        <f t="shared" si="0"/>
        <v>44.465020184938204</v>
      </c>
      <c r="F24">
        <f t="shared" si="1"/>
        <v>0</v>
      </c>
    </row>
    <row r="25" spans="1:6" x14ac:dyDescent="0.2">
      <c r="A25">
        <v>5</v>
      </c>
      <c r="B25">
        <v>209.97268346709001</v>
      </c>
      <c r="C25">
        <v>0.11434907256805101</v>
      </c>
      <c r="D25">
        <v>0</v>
      </c>
      <c r="E25">
        <f t="shared" si="0"/>
        <v>24.01018161908668</v>
      </c>
      <c r="F25">
        <f t="shared" si="1"/>
        <v>0</v>
      </c>
    </row>
    <row r="26" spans="1:6" x14ac:dyDescent="0.2">
      <c r="A26">
        <v>5</v>
      </c>
      <c r="B26">
        <v>230.44353234228899</v>
      </c>
      <c r="C26">
        <v>0</v>
      </c>
      <c r="D26">
        <v>0</v>
      </c>
      <c r="E26">
        <f t="shared" si="0"/>
        <v>0</v>
      </c>
      <c r="F26">
        <f t="shared" si="1"/>
        <v>0</v>
      </c>
    </row>
    <row r="27" spans="1:6" x14ac:dyDescent="0.2">
      <c r="A27">
        <v>5</v>
      </c>
      <c r="B27">
        <v>178.41950086703801</v>
      </c>
      <c r="C27">
        <v>0</v>
      </c>
      <c r="D27">
        <v>0</v>
      </c>
      <c r="E27">
        <f t="shared" si="0"/>
        <v>0</v>
      </c>
      <c r="F27">
        <f t="shared" si="1"/>
        <v>0</v>
      </c>
    </row>
    <row r="28" spans="1:6" x14ac:dyDescent="0.2">
      <c r="A28">
        <v>7</v>
      </c>
      <c r="B28">
        <v>209.506089953225</v>
      </c>
      <c r="C28">
        <v>0.110491687775641</v>
      </c>
      <c r="D28">
        <v>0</v>
      </c>
      <c r="E28">
        <f t="shared" si="0"/>
        <v>23.148681478207095</v>
      </c>
      <c r="F28">
        <f t="shared" si="1"/>
        <v>0</v>
      </c>
    </row>
    <row r="29" spans="1:6" x14ac:dyDescent="0.2">
      <c r="A29">
        <v>7</v>
      </c>
      <c r="B29">
        <v>208.08467132418599</v>
      </c>
      <c r="C29">
        <v>0.420208090972717</v>
      </c>
      <c r="D29">
        <v>0</v>
      </c>
      <c r="E29">
        <f t="shared" si="0"/>
        <v>87.438862497821461</v>
      </c>
      <c r="F29">
        <f t="shared" si="1"/>
        <v>0</v>
      </c>
    </row>
    <row r="30" spans="1:6" x14ac:dyDescent="0.2">
      <c r="A30">
        <v>7</v>
      </c>
      <c r="B30">
        <v>210.09326626594401</v>
      </c>
      <c r="C30">
        <v>0.36458156330459901</v>
      </c>
      <c r="D30">
        <v>0</v>
      </c>
      <c r="E30">
        <f t="shared" si="0"/>
        <v>76.596131455007239</v>
      </c>
      <c r="F30">
        <f t="shared" si="1"/>
        <v>0</v>
      </c>
    </row>
    <row r="31" spans="1:6" x14ac:dyDescent="0.2">
      <c r="A31">
        <v>7</v>
      </c>
      <c r="B31">
        <v>204.31527755985101</v>
      </c>
      <c r="C31">
        <v>0.37255033941668603</v>
      </c>
      <c r="D31">
        <v>0</v>
      </c>
      <c r="E31">
        <f t="shared" si="0"/>
        <v>76.117726002936905</v>
      </c>
      <c r="F31">
        <f t="shared" si="1"/>
        <v>0</v>
      </c>
    </row>
    <row r="32" spans="1:6" x14ac:dyDescent="0.2">
      <c r="A32">
        <v>7</v>
      </c>
      <c r="B32">
        <v>203.67040414257499</v>
      </c>
      <c r="C32">
        <v>0.43324513664282299</v>
      </c>
      <c r="D32">
        <v>0</v>
      </c>
      <c r="E32">
        <f t="shared" si="0"/>
        <v>88.239212072848886</v>
      </c>
      <c r="F32">
        <f t="shared" si="1"/>
        <v>0</v>
      </c>
    </row>
    <row r="33" spans="1:6" x14ac:dyDescent="0.2">
      <c r="A33">
        <v>7</v>
      </c>
      <c r="B33">
        <v>212.957535222296</v>
      </c>
      <c r="C33">
        <v>0.289673993679539</v>
      </c>
      <c r="D33">
        <v>0</v>
      </c>
      <c r="E33">
        <f t="shared" si="0"/>
        <v>61.688259711993574</v>
      </c>
      <c r="F33">
        <f t="shared" si="1"/>
        <v>0</v>
      </c>
    </row>
    <row r="34" spans="1:6" x14ac:dyDescent="0.2">
      <c r="A34">
        <v>7</v>
      </c>
      <c r="B34">
        <v>212.47435198612499</v>
      </c>
      <c r="C34">
        <v>0.50395358505108101</v>
      </c>
      <c r="D34">
        <v>0</v>
      </c>
      <c r="E34">
        <f t="shared" si="0"/>
        <v>107.07721141481296</v>
      </c>
      <c r="F34">
        <f t="shared" si="1"/>
        <v>0</v>
      </c>
    </row>
    <row r="35" spans="1:6" x14ac:dyDescent="0.2">
      <c r="A35">
        <v>7</v>
      </c>
      <c r="B35">
        <v>208.856052518702</v>
      </c>
      <c r="C35">
        <v>0.74621339121001196</v>
      </c>
      <c r="D35">
        <v>0</v>
      </c>
      <c r="E35">
        <f t="shared" si="0"/>
        <v>155.85118322471698</v>
      </c>
      <c r="F35">
        <f t="shared" si="1"/>
        <v>0</v>
      </c>
    </row>
    <row r="36" spans="1:6" x14ac:dyDescent="0.2">
      <c r="A36">
        <v>7</v>
      </c>
      <c r="B36">
        <v>192.66957395983999</v>
      </c>
      <c r="C36">
        <v>0.68647465386685103</v>
      </c>
      <c r="D36">
        <v>0</v>
      </c>
      <c r="E36">
        <f t="shared" si="0"/>
        <v>132.26277909475482</v>
      </c>
      <c r="F36">
        <f t="shared" si="1"/>
        <v>0</v>
      </c>
    </row>
    <row r="37" spans="1:6" x14ac:dyDescent="0.2">
      <c r="A37">
        <v>7</v>
      </c>
      <c r="B37">
        <v>212.17209341220601</v>
      </c>
      <c r="C37">
        <v>0.16431902413369701</v>
      </c>
      <c r="D37">
        <v>0</v>
      </c>
      <c r="E37">
        <f t="shared" si="0"/>
        <v>34.863911337897292</v>
      </c>
      <c r="F37">
        <f t="shared" si="1"/>
        <v>0</v>
      </c>
    </row>
    <row r="38" spans="1:6" x14ac:dyDescent="0.2">
      <c r="A38">
        <v>7</v>
      </c>
      <c r="B38">
        <v>203.47714779404899</v>
      </c>
      <c r="C38">
        <v>0.28594619947509198</v>
      </c>
      <c r="D38">
        <v>0</v>
      </c>
      <c r="E38">
        <f t="shared" si="0"/>
        <v>58.183517091739901</v>
      </c>
      <c r="F38">
        <f t="shared" si="1"/>
        <v>0</v>
      </c>
    </row>
    <row r="39" spans="1:6" x14ac:dyDescent="0.2">
      <c r="A39">
        <v>7</v>
      </c>
      <c r="B39">
        <v>210.53987323130701</v>
      </c>
      <c r="C39">
        <v>0.411128802080795</v>
      </c>
      <c r="D39">
        <v>0</v>
      </c>
      <c r="E39">
        <f t="shared" si="0"/>
        <v>86.559005871829683</v>
      </c>
      <c r="F39">
        <f t="shared" si="1"/>
        <v>0</v>
      </c>
    </row>
    <row r="40" spans="1:6" x14ac:dyDescent="0.2">
      <c r="A40">
        <v>7</v>
      </c>
      <c r="B40">
        <v>207.80442725906599</v>
      </c>
      <c r="C40">
        <v>0.38789938043573002</v>
      </c>
      <c r="D40">
        <v>0</v>
      </c>
      <c r="E40">
        <f t="shared" si="0"/>
        <v>80.607208585593426</v>
      </c>
      <c r="F40">
        <f t="shared" si="1"/>
        <v>0</v>
      </c>
    </row>
    <row r="41" spans="1:6" x14ac:dyDescent="0.2">
      <c r="A41">
        <v>7</v>
      </c>
      <c r="B41">
        <v>208.396398220489</v>
      </c>
      <c r="C41">
        <v>0.17157859209467499</v>
      </c>
      <c r="D41">
        <v>0</v>
      </c>
      <c r="E41">
        <f t="shared" si="0"/>
        <v>35.756360604272736</v>
      </c>
      <c r="F41">
        <f t="shared" si="1"/>
        <v>0</v>
      </c>
    </row>
    <row r="42" spans="1:6" x14ac:dyDescent="0.2">
      <c r="A42">
        <v>7</v>
      </c>
      <c r="B42">
        <v>213.44538466379501</v>
      </c>
      <c r="C42">
        <v>5.0912538421713102E-2</v>
      </c>
      <c r="D42">
        <v>0</v>
      </c>
      <c r="E42">
        <f t="shared" si="0"/>
        <v>10.867046347632796</v>
      </c>
      <c r="F42">
        <f t="shared" si="1"/>
        <v>0</v>
      </c>
    </row>
    <row r="43" spans="1:6" x14ac:dyDescent="0.2">
      <c r="A43">
        <v>7</v>
      </c>
      <c r="B43">
        <v>210.39266785943599</v>
      </c>
      <c r="C43">
        <v>0.14517773011822899</v>
      </c>
      <c r="D43">
        <v>0</v>
      </c>
      <c r="E43">
        <f t="shared" si="0"/>
        <v>30.544329953351387</v>
      </c>
      <c r="F43">
        <f t="shared" si="1"/>
        <v>0</v>
      </c>
    </row>
    <row r="44" spans="1:6" x14ac:dyDescent="0.2">
      <c r="A44">
        <v>7</v>
      </c>
      <c r="B44">
        <v>237.15029994293701</v>
      </c>
      <c r="C44">
        <v>0.215455790407558</v>
      </c>
      <c r="D44">
        <v>0</v>
      </c>
      <c r="E44">
        <f t="shared" si="0"/>
        <v>51.095405319594953</v>
      </c>
      <c r="F44">
        <f t="shared" si="1"/>
        <v>0</v>
      </c>
    </row>
    <row r="45" spans="1:6" x14ac:dyDescent="0.2">
      <c r="A45">
        <v>7</v>
      </c>
      <c r="B45">
        <v>219.08026945211401</v>
      </c>
      <c r="C45">
        <v>9.5243060898226595E-2</v>
      </c>
      <c r="D45">
        <v>0</v>
      </c>
      <c r="E45">
        <f t="shared" si="0"/>
        <v>20.865875445027587</v>
      </c>
      <c r="F45">
        <f t="shared" si="1"/>
        <v>0</v>
      </c>
    </row>
    <row r="46" spans="1:6" x14ac:dyDescent="0.2">
      <c r="A46">
        <v>7</v>
      </c>
      <c r="B46">
        <v>219.07577996433301</v>
      </c>
      <c r="C46">
        <v>0.187249880979419</v>
      </c>
      <c r="D46">
        <v>0</v>
      </c>
      <c r="E46">
        <f t="shared" si="0"/>
        <v>41.021913723794739</v>
      </c>
      <c r="F46">
        <f t="shared" si="1"/>
        <v>0</v>
      </c>
    </row>
    <row r="47" spans="1:6" x14ac:dyDescent="0.2">
      <c r="A47">
        <v>7</v>
      </c>
      <c r="B47">
        <v>213.46266382001701</v>
      </c>
      <c r="C47">
        <v>0.23667609383257299</v>
      </c>
      <c r="D47">
        <v>0</v>
      </c>
      <c r="E47">
        <f t="shared" si="0"/>
        <v>50.521509452017327</v>
      </c>
      <c r="F47">
        <f t="shared" si="1"/>
        <v>0</v>
      </c>
    </row>
    <row r="48" spans="1:6" x14ac:dyDescent="0.2">
      <c r="A48">
        <v>7</v>
      </c>
      <c r="B48">
        <v>222.77313748738399</v>
      </c>
      <c r="C48">
        <v>0.10942698707794001</v>
      </c>
      <c r="D48">
        <v>0</v>
      </c>
      <c r="E48">
        <f t="shared" si="0"/>
        <v>24.377393237144119</v>
      </c>
      <c r="F48">
        <f t="shared" si="1"/>
        <v>0</v>
      </c>
    </row>
    <row r="49" spans="1:6" x14ac:dyDescent="0.2">
      <c r="A49">
        <v>7</v>
      </c>
      <c r="B49">
        <v>218.89724825095399</v>
      </c>
      <c r="C49">
        <v>0.128356767729466</v>
      </c>
      <c r="D49">
        <v>0</v>
      </c>
      <c r="E49">
        <f t="shared" si="0"/>
        <v>28.096943250366959</v>
      </c>
      <c r="F49">
        <f t="shared" si="1"/>
        <v>0</v>
      </c>
    </row>
    <row r="50" spans="1:6" x14ac:dyDescent="0.2">
      <c r="A50">
        <v>7</v>
      </c>
      <c r="B50">
        <v>226.08299408327801</v>
      </c>
      <c r="C50">
        <v>0</v>
      </c>
      <c r="D50">
        <v>0</v>
      </c>
      <c r="E50">
        <f t="shared" si="0"/>
        <v>0</v>
      </c>
      <c r="F50">
        <f t="shared" si="1"/>
        <v>0</v>
      </c>
    </row>
    <row r="51" spans="1:6" x14ac:dyDescent="0.2">
      <c r="A51">
        <v>10</v>
      </c>
      <c r="B51">
        <v>238.71388504235</v>
      </c>
      <c r="C51">
        <v>0.80658369446022005</v>
      </c>
      <c r="D51">
        <v>0</v>
      </c>
      <c r="E51">
        <f t="shared" si="0"/>
        <v>192.54272731641092</v>
      </c>
      <c r="F51">
        <f t="shared" si="1"/>
        <v>0</v>
      </c>
    </row>
    <row r="52" spans="1:6" x14ac:dyDescent="0.2">
      <c r="A52">
        <v>10</v>
      </c>
      <c r="B52">
        <v>231.608968287816</v>
      </c>
      <c r="C52">
        <v>0.40687997757300798</v>
      </c>
      <c r="D52">
        <v>0</v>
      </c>
      <c r="E52">
        <f t="shared" si="0"/>
        <v>94.237051822654095</v>
      </c>
      <c r="F52">
        <f t="shared" si="1"/>
        <v>0</v>
      </c>
    </row>
    <row r="53" spans="1:6" x14ac:dyDescent="0.2">
      <c r="A53">
        <v>10</v>
      </c>
      <c r="B53">
        <v>242.78798493202299</v>
      </c>
      <c r="C53">
        <v>0.78384191098076395</v>
      </c>
      <c r="D53">
        <v>0</v>
      </c>
      <c r="E53">
        <f t="shared" si="0"/>
        <v>190.30739807228582</v>
      </c>
      <c r="F53">
        <f t="shared" si="1"/>
        <v>0</v>
      </c>
    </row>
    <row r="54" spans="1:6" x14ac:dyDescent="0.2">
      <c r="A54">
        <v>10</v>
      </c>
      <c r="B54">
        <v>230.36455959660401</v>
      </c>
      <c r="C54">
        <v>0.55630456375079096</v>
      </c>
      <c r="D54">
        <v>0</v>
      </c>
      <c r="E54">
        <f t="shared" si="0"/>
        <v>128.15285583003188</v>
      </c>
      <c r="F54">
        <f t="shared" si="1"/>
        <v>0</v>
      </c>
    </row>
    <row r="55" spans="1:6" x14ac:dyDescent="0.2">
      <c r="A55">
        <v>10</v>
      </c>
      <c r="B55">
        <v>237.50359937615801</v>
      </c>
      <c r="C55">
        <v>0.54674197061584995</v>
      </c>
      <c r="D55">
        <v>0</v>
      </c>
      <c r="E55">
        <f t="shared" si="0"/>
        <v>129.85318595127799</v>
      </c>
      <c r="F55">
        <f t="shared" si="1"/>
        <v>0</v>
      </c>
    </row>
    <row r="56" spans="1:6" x14ac:dyDescent="0.2">
      <c r="A56">
        <v>10</v>
      </c>
      <c r="B56">
        <v>231.892254861385</v>
      </c>
      <c r="C56">
        <v>0.51328265235325998</v>
      </c>
      <c r="D56">
        <v>0</v>
      </c>
      <c r="E56">
        <f t="shared" si="0"/>
        <v>119.02627163542984</v>
      </c>
      <c r="F56">
        <f t="shared" si="1"/>
        <v>0</v>
      </c>
    </row>
    <row r="57" spans="1:6" x14ac:dyDescent="0.2">
      <c r="A57">
        <v>10</v>
      </c>
      <c r="B57">
        <v>236.82866128321999</v>
      </c>
      <c r="C57">
        <v>0.34058443786822601</v>
      </c>
      <c r="D57">
        <v>0</v>
      </c>
      <c r="E57">
        <f t="shared" si="0"/>
        <v>80.660156474229979</v>
      </c>
      <c r="F57">
        <f t="shared" si="1"/>
        <v>0</v>
      </c>
    </row>
    <row r="58" spans="1:6" x14ac:dyDescent="0.2">
      <c r="A58">
        <v>10</v>
      </c>
      <c r="B58">
        <v>244.77600432777501</v>
      </c>
      <c r="C58">
        <v>0.43288929228685202</v>
      </c>
      <c r="D58">
        <v>0</v>
      </c>
      <c r="E58">
        <f t="shared" si="0"/>
        <v>105.96091128225396</v>
      </c>
      <c r="F58">
        <f t="shared" si="1"/>
        <v>0</v>
      </c>
    </row>
    <row r="59" spans="1:6" x14ac:dyDescent="0.2">
      <c r="A59">
        <v>10</v>
      </c>
      <c r="B59">
        <v>242.90644946579499</v>
      </c>
      <c r="C59">
        <v>0.45419325685083001</v>
      </c>
      <c r="D59">
        <v>0</v>
      </c>
      <c r="E59">
        <f t="shared" si="0"/>
        <v>110.32647139294099</v>
      </c>
      <c r="F59">
        <f t="shared" si="1"/>
        <v>0</v>
      </c>
    </row>
    <row r="60" spans="1:6" x14ac:dyDescent="0.2">
      <c r="A60">
        <v>10</v>
      </c>
      <c r="B60">
        <v>257.01567753485801</v>
      </c>
      <c r="C60">
        <v>0.26632278838485601</v>
      </c>
      <c r="D60">
        <v>0</v>
      </c>
      <c r="E60">
        <f t="shared" si="0"/>
        <v>68.449131899706387</v>
      </c>
      <c r="F60">
        <f t="shared" si="1"/>
        <v>0</v>
      </c>
    </row>
    <row r="61" spans="1:6" x14ac:dyDescent="0.2">
      <c r="A61">
        <v>10</v>
      </c>
      <c r="B61">
        <v>273.24820187332199</v>
      </c>
      <c r="C61">
        <v>0.48695673025627301</v>
      </c>
      <c r="D61">
        <v>0</v>
      </c>
      <c r="E61">
        <f t="shared" si="0"/>
        <v>133.06005093263889</v>
      </c>
      <c r="F61">
        <f t="shared" si="1"/>
        <v>0</v>
      </c>
    </row>
    <row r="62" spans="1:6" x14ac:dyDescent="0.2">
      <c r="A62">
        <v>10</v>
      </c>
      <c r="B62">
        <v>262.73061071363702</v>
      </c>
      <c r="C62">
        <v>0.40196166934234701</v>
      </c>
      <c r="D62">
        <v>0</v>
      </c>
      <c r="E62">
        <f t="shared" si="0"/>
        <v>105.60763486978786</v>
      </c>
      <c r="F62">
        <f t="shared" si="1"/>
        <v>0</v>
      </c>
    </row>
    <row r="63" spans="1:6" x14ac:dyDescent="0.2">
      <c r="A63">
        <v>10</v>
      </c>
      <c r="B63">
        <v>255.87851505453801</v>
      </c>
      <c r="C63">
        <v>0.37932364680647601</v>
      </c>
      <c r="D63">
        <v>0</v>
      </c>
      <c r="E63">
        <f t="shared" si="0"/>
        <v>97.060771469913135</v>
      </c>
      <c r="F63">
        <f t="shared" si="1"/>
        <v>0</v>
      </c>
    </row>
    <row r="64" spans="1:6" x14ac:dyDescent="0.2">
      <c r="A64">
        <v>10</v>
      </c>
      <c r="B64">
        <v>251.215773386324</v>
      </c>
      <c r="C64">
        <v>0.330704123191776</v>
      </c>
      <c r="D64">
        <v>0</v>
      </c>
      <c r="E64">
        <f t="shared" si="0"/>
        <v>83.078092069668173</v>
      </c>
      <c r="F64">
        <f t="shared" si="1"/>
        <v>0</v>
      </c>
    </row>
    <row r="65" spans="1:6" x14ac:dyDescent="0.2">
      <c r="A65">
        <v>10</v>
      </c>
      <c r="B65">
        <v>242.165349205974</v>
      </c>
      <c r="C65">
        <v>0.39651498707240601</v>
      </c>
      <c r="D65">
        <v>0</v>
      </c>
      <c r="E65">
        <f t="shared" si="0"/>
        <v>96.022190309791469</v>
      </c>
      <c r="F65">
        <f t="shared" si="1"/>
        <v>0</v>
      </c>
    </row>
    <row r="66" spans="1:6" x14ac:dyDescent="0.2">
      <c r="A66">
        <v>10</v>
      </c>
      <c r="B66">
        <v>233.74996990765101</v>
      </c>
      <c r="C66">
        <v>0.148890196279929</v>
      </c>
      <c r="D66">
        <v>0</v>
      </c>
      <c r="E66">
        <f t="shared" si="0"/>
        <v>34.803078899977656</v>
      </c>
      <c r="F66">
        <f t="shared" si="1"/>
        <v>0</v>
      </c>
    </row>
    <row r="67" spans="1:6" x14ac:dyDescent="0.2">
      <c r="A67">
        <v>10</v>
      </c>
      <c r="B67">
        <v>242.89531423526199</v>
      </c>
      <c r="C67">
        <v>0.125950798987082</v>
      </c>
      <c r="D67">
        <v>0</v>
      </c>
      <c r="E67">
        <f t="shared" si="0"/>
        <v>30.592858898149601</v>
      </c>
      <c r="F67">
        <f t="shared" si="1"/>
        <v>0</v>
      </c>
    </row>
    <row r="68" spans="1:6" x14ac:dyDescent="0.2">
      <c r="A68">
        <v>10</v>
      </c>
      <c r="B68">
        <v>249.02252282840101</v>
      </c>
      <c r="C68">
        <v>0.48943786819747997</v>
      </c>
      <c r="D68">
        <v>0</v>
      </c>
      <c r="E68">
        <f t="shared" si="0"/>
        <v>121.88105270629089</v>
      </c>
      <c r="F68">
        <f t="shared" si="1"/>
        <v>0</v>
      </c>
    </row>
    <row r="69" spans="1:6" x14ac:dyDescent="0.2">
      <c r="A69">
        <v>10</v>
      </c>
      <c r="B69">
        <v>230.93383828455799</v>
      </c>
      <c r="C69">
        <v>0.38115519263317799</v>
      </c>
      <c r="D69">
        <v>0</v>
      </c>
      <c r="E69">
        <f t="shared" si="0"/>
        <v>88.021631616869868</v>
      </c>
      <c r="F69">
        <f t="shared" si="1"/>
        <v>0</v>
      </c>
    </row>
    <row r="70" spans="1:6" x14ac:dyDescent="0.2">
      <c r="A70">
        <v>10</v>
      </c>
      <c r="B70">
        <v>235.83921997099301</v>
      </c>
      <c r="C70">
        <v>0.30731050375913299</v>
      </c>
      <c r="D70">
        <v>0</v>
      </c>
      <c r="E70">
        <f t="shared" ref="E70:E133" si="2">C70*B70</f>
        <v>72.475869495446844</v>
      </c>
      <c r="F70">
        <f t="shared" ref="F70:F133" si="3">D70*B70</f>
        <v>0</v>
      </c>
    </row>
    <row r="71" spans="1:6" x14ac:dyDescent="0.2">
      <c r="A71">
        <v>10</v>
      </c>
      <c r="B71">
        <v>227.262136340735</v>
      </c>
      <c r="C71">
        <v>0.229837049459091</v>
      </c>
      <c r="D71">
        <v>0</v>
      </c>
      <c r="E71">
        <f t="shared" si="2"/>
        <v>52.233258870324192</v>
      </c>
      <c r="F71">
        <f t="shared" si="3"/>
        <v>0</v>
      </c>
    </row>
    <row r="72" spans="1:6" x14ac:dyDescent="0.2">
      <c r="A72">
        <v>10</v>
      </c>
      <c r="B72">
        <v>220.242198351925</v>
      </c>
      <c r="C72">
        <v>0</v>
      </c>
      <c r="D72">
        <v>0</v>
      </c>
      <c r="E72">
        <f t="shared" si="2"/>
        <v>0</v>
      </c>
      <c r="F72">
        <f t="shared" si="3"/>
        <v>0</v>
      </c>
    </row>
    <row r="73" spans="1:6" x14ac:dyDescent="0.2">
      <c r="A73">
        <v>10</v>
      </c>
      <c r="B73">
        <v>225.45021509472201</v>
      </c>
      <c r="C73">
        <v>0.39235555691783403</v>
      </c>
      <c r="D73">
        <v>0</v>
      </c>
      <c r="E73">
        <f t="shared" si="2"/>
        <v>88.456644700735126</v>
      </c>
      <c r="F73">
        <f t="shared" si="3"/>
        <v>0</v>
      </c>
    </row>
    <row r="74" spans="1:6" x14ac:dyDescent="0.2">
      <c r="A74">
        <v>10</v>
      </c>
      <c r="B74">
        <v>222.949668389913</v>
      </c>
      <c r="C74">
        <v>0</v>
      </c>
      <c r="D74">
        <v>0</v>
      </c>
      <c r="E74">
        <f t="shared" si="2"/>
        <v>0</v>
      </c>
      <c r="F74">
        <f t="shared" si="3"/>
        <v>0</v>
      </c>
    </row>
    <row r="75" spans="1:6" x14ac:dyDescent="0.2">
      <c r="A75">
        <v>10</v>
      </c>
      <c r="B75">
        <v>221.00452346097799</v>
      </c>
      <c r="C75">
        <v>0.20536552219350099</v>
      </c>
      <c r="D75">
        <v>0</v>
      </c>
      <c r="E75">
        <f t="shared" si="2"/>
        <v>45.386709367689583</v>
      </c>
      <c r="F75">
        <f t="shared" si="3"/>
        <v>0</v>
      </c>
    </row>
    <row r="76" spans="1:6" x14ac:dyDescent="0.2">
      <c r="A76">
        <v>12</v>
      </c>
      <c r="B76">
        <v>248.889186944833</v>
      </c>
      <c r="C76">
        <v>0.63023358083616499</v>
      </c>
      <c r="D76">
        <v>0</v>
      </c>
      <c r="E76">
        <f t="shared" si="2"/>
        <v>156.85832351964379</v>
      </c>
      <c r="F76">
        <f t="shared" si="3"/>
        <v>0</v>
      </c>
    </row>
    <row r="77" spans="1:6" x14ac:dyDescent="0.2">
      <c r="A77">
        <v>12</v>
      </c>
      <c r="B77">
        <v>270.13128284779901</v>
      </c>
      <c r="C77">
        <v>0.642505951678221</v>
      </c>
      <c r="D77">
        <v>0</v>
      </c>
      <c r="E77">
        <f t="shared" si="2"/>
        <v>173.56095696418379</v>
      </c>
      <c r="F77">
        <f t="shared" si="3"/>
        <v>0</v>
      </c>
    </row>
    <row r="78" spans="1:6" x14ac:dyDescent="0.2">
      <c r="A78">
        <v>12</v>
      </c>
      <c r="B78">
        <v>258.10115381778502</v>
      </c>
      <c r="C78">
        <v>0.75159879352141701</v>
      </c>
      <c r="D78">
        <v>0</v>
      </c>
      <c r="E78">
        <f t="shared" si="2"/>
        <v>193.98851581593289</v>
      </c>
      <c r="F78">
        <f t="shared" si="3"/>
        <v>0</v>
      </c>
    </row>
    <row r="79" spans="1:6" x14ac:dyDescent="0.2">
      <c r="A79">
        <v>12</v>
      </c>
      <c r="B79">
        <v>271.14703275026801</v>
      </c>
      <c r="C79">
        <v>0.81692790305777696</v>
      </c>
      <c r="D79">
        <v>0.20397321607447999</v>
      </c>
      <c r="E79">
        <f t="shared" si="2"/>
        <v>221.50757688501483</v>
      </c>
      <c r="F79">
        <f t="shared" si="3"/>
        <v>55.306732299124519</v>
      </c>
    </row>
    <row r="80" spans="1:6" x14ac:dyDescent="0.2">
      <c r="A80">
        <v>12</v>
      </c>
      <c r="B80">
        <v>254.36437923222201</v>
      </c>
      <c r="C80">
        <v>0.727031077353816</v>
      </c>
      <c r="D80">
        <v>0</v>
      </c>
      <c r="E80">
        <f t="shared" si="2"/>
        <v>184.93080867363699</v>
      </c>
      <c r="F80">
        <f t="shared" si="3"/>
        <v>0</v>
      </c>
    </row>
    <row r="81" spans="1:6" x14ac:dyDescent="0.2">
      <c r="A81">
        <v>12</v>
      </c>
      <c r="B81">
        <v>277.757128379199</v>
      </c>
      <c r="C81">
        <v>0.35109311068917498</v>
      </c>
      <c r="D81">
        <v>0</v>
      </c>
      <c r="E81">
        <f t="shared" si="2"/>
        <v>97.518614218745498</v>
      </c>
      <c r="F81">
        <f t="shared" si="3"/>
        <v>0</v>
      </c>
    </row>
    <row r="82" spans="1:6" x14ac:dyDescent="0.2">
      <c r="A82">
        <v>12</v>
      </c>
      <c r="B82">
        <v>271.52220503869898</v>
      </c>
      <c r="C82">
        <v>0.700722452334676</v>
      </c>
      <c r="D82">
        <v>0</v>
      </c>
      <c r="E82">
        <f t="shared" si="2"/>
        <v>190.26170537803588</v>
      </c>
      <c r="F82">
        <f t="shared" si="3"/>
        <v>0</v>
      </c>
    </row>
    <row r="83" spans="1:6" x14ac:dyDescent="0.2">
      <c r="A83">
        <v>12</v>
      </c>
      <c r="B83">
        <v>274.19860827478999</v>
      </c>
      <c r="C83">
        <v>0.59173022997597902</v>
      </c>
      <c r="D83">
        <v>0</v>
      </c>
      <c r="E83">
        <f t="shared" si="2"/>
        <v>162.25160553353487</v>
      </c>
      <c r="F83">
        <f t="shared" si="3"/>
        <v>0</v>
      </c>
    </row>
    <row r="84" spans="1:6" x14ac:dyDescent="0.2">
      <c r="A84">
        <v>12</v>
      </c>
      <c r="B84">
        <v>258.27353078950699</v>
      </c>
      <c r="C84">
        <v>0.68236517522194695</v>
      </c>
      <c r="D84">
        <v>0</v>
      </c>
      <c r="E84">
        <f t="shared" si="2"/>
        <v>176.23686309237286</v>
      </c>
      <c r="F84">
        <f t="shared" si="3"/>
        <v>0</v>
      </c>
    </row>
    <row r="85" spans="1:6" x14ac:dyDescent="0.2">
      <c r="A85">
        <v>12</v>
      </c>
      <c r="B85">
        <v>246.53166934800501</v>
      </c>
      <c r="C85">
        <v>0.467989526418779</v>
      </c>
      <c r="D85">
        <v>0</v>
      </c>
      <c r="E85">
        <f t="shared" si="2"/>
        <v>115.37423918540388</v>
      </c>
      <c r="F85">
        <f t="shared" si="3"/>
        <v>0</v>
      </c>
    </row>
    <row r="86" spans="1:6" x14ac:dyDescent="0.2">
      <c r="A86">
        <v>12</v>
      </c>
      <c r="B86">
        <v>272.88801769958098</v>
      </c>
      <c r="C86">
        <v>0.53818571383020197</v>
      </c>
      <c r="D86">
        <v>0</v>
      </c>
      <c r="E86">
        <f t="shared" si="2"/>
        <v>146.86443260135778</v>
      </c>
      <c r="F86">
        <f t="shared" si="3"/>
        <v>0</v>
      </c>
    </row>
    <row r="87" spans="1:6" x14ac:dyDescent="0.2">
      <c r="A87">
        <v>12</v>
      </c>
      <c r="B87">
        <v>297.75412483946002</v>
      </c>
      <c r="C87">
        <v>0.70435535017305995</v>
      </c>
      <c r="D87">
        <v>0</v>
      </c>
      <c r="E87">
        <f t="shared" si="2"/>
        <v>209.72471086677086</v>
      </c>
      <c r="F87">
        <f t="shared" si="3"/>
        <v>0</v>
      </c>
    </row>
    <row r="88" spans="1:6" x14ac:dyDescent="0.2">
      <c r="A88">
        <v>12</v>
      </c>
      <c r="B88">
        <v>277.034702715386</v>
      </c>
      <c r="C88">
        <v>0.58028157691964699</v>
      </c>
      <c r="D88">
        <v>0</v>
      </c>
      <c r="E88">
        <f t="shared" si="2"/>
        <v>160.7581341531498</v>
      </c>
      <c r="F88">
        <f t="shared" si="3"/>
        <v>0</v>
      </c>
    </row>
    <row r="89" spans="1:6" x14ac:dyDescent="0.2">
      <c r="A89">
        <v>12</v>
      </c>
      <c r="B89">
        <v>277.50825907583999</v>
      </c>
      <c r="C89">
        <v>0.83793640969237504</v>
      </c>
      <c r="D89">
        <v>0</v>
      </c>
      <c r="E89">
        <f t="shared" si="2"/>
        <v>232.53427426999082</v>
      </c>
      <c r="F89">
        <f t="shared" si="3"/>
        <v>0</v>
      </c>
    </row>
    <row r="90" spans="1:6" x14ac:dyDescent="0.2">
      <c r="A90">
        <v>12</v>
      </c>
      <c r="B90">
        <v>278.437060420612</v>
      </c>
      <c r="C90">
        <v>0.434099412211221</v>
      </c>
      <c r="D90">
        <v>0</v>
      </c>
      <c r="E90">
        <f t="shared" si="2"/>
        <v>120.8693642664079</v>
      </c>
      <c r="F90">
        <f t="shared" si="3"/>
        <v>0</v>
      </c>
    </row>
    <row r="91" spans="1:6" x14ac:dyDescent="0.2">
      <c r="A91">
        <v>12</v>
      </c>
      <c r="B91">
        <v>262.417837181008</v>
      </c>
      <c r="C91">
        <v>0.64742269100336802</v>
      </c>
      <c r="D91">
        <v>0</v>
      </c>
      <c r="E91">
        <f t="shared" si="2"/>
        <v>169.89526231501188</v>
      </c>
      <c r="F91">
        <f t="shared" si="3"/>
        <v>0</v>
      </c>
    </row>
    <row r="92" spans="1:6" x14ac:dyDescent="0.2">
      <c r="A92">
        <v>12</v>
      </c>
      <c r="B92">
        <v>268.856656258832</v>
      </c>
      <c r="C92">
        <v>0.50660966496527104</v>
      </c>
      <c r="D92">
        <v>0</v>
      </c>
      <c r="E92">
        <f t="shared" si="2"/>
        <v>136.20538055096992</v>
      </c>
      <c r="F92">
        <f t="shared" si="3"/>
        <v>0</v>
      </c>
    </row>
    <row r="93" spans="1:6" x14ac:dyDescent="0.2">
      <c r="A93">
        <v>12</v>
      </c>
      <c r="B93">
        <v>255.61700241352801</v>
      </c>
      <c r="C93">
        <v>0.62805848981284196</v>
      </c>
      <c r="D93">
        <v>0</v>
      </c>
      <c r="E93">
        <f t="shared" si="2"/>
        <v>160.54242850632599</v>
      </c>
      <c r="F93">
        <f t="shared" si="3"/>
        <v>0</v>
      </c>
    </row>
    <row r="94" spans="1:6" x14ac:dyDescent="0.2">
      <c r="A94">
        <v>12</v>
      </c>
      <c r="B94">
        <v>265.88157615504298</v>
      </c>
      <c r="C94">
        <v>0.65526132288677397</v>
      </c>
      <c r="D94">
        <v>0.16475484514014899</v>
      </c>
      <c r="E94">
        <f t="shared" si="2"/>
        <v>174.22191332257401</v>
      </c>
      <c r="F94">
        <f t="shared" si="3"/>
        <v>43.805277905042836</v>
      </c>
    </row>
    <row r="95" spans="1:6" x14ac:dyDescent="0.2">
      <c r="A95">
        <v>12</v>
      </c>
      <c r="B95">
        <v>275.98182190957903</v>
      </c>
      <c r="C95">
        <v>0.61775651964804801</v>
      </c>
      <c r="D95">
        <v>0.114991914915213</v>
      </c>
      <c r="E95">
        <f t="shared" si="2"/>
        <v>170.48956978898894</v>
      </c>
      <c r="F95">
        <f t="shared" si="3"/>
        <v>31.735678183171778</v>
      </c>
    </row>
    <row r="96" spans="1:6" x14ac:dyDescent="0.2">
      <c r="A96">
        <v>14</v>
      </c>
      <c r="B96">
        <v>265.12030149241798</v>
      </c>
      <c r="C96">
        <v>0.56963086909720095</v>
      </c>
      <c r="D96">
        <v>0.205977327369607</v>
      </c>
      <c r="E96">
        <f t="shared" si="2"/>
        <v>151.02070775443801</v>
      </c>
      <c r="F96">
        <f t="shared" si="3"/>
        <v>54.608771132832686</v>
      </c>
    </row>
    <row r="97" spans="1:6" x14ac:dyDescent="0.2">
      <c r="A97">
        <v>14</v>
      </c>
      <c r="B97">
        <v>287.00206886686902</v>
      </c>
      <c r="C97">
        <v>0.712739422045371</v>
      </c>
      <c r="D97">
        <v>0.31816080516217499</v>
      </c>
      <c r="E97">
        <f t="shared" si="2"/>
        <v>204.557688689998</v>
      </c>
      <c r="F97">
        <f t="shared" si="3"/>
        <v>91.312809313893041</v>
      </c>
    </row>
    <row r="98" spans="1:6" x14ac:dyDescent="0.2">
      <c r="A98">
        <v>14</v>
      </c>
      <c r="B98">
        <v>275.23419003523401</v>
      </c>
      <c r="C98">
        <v>0.70077939825000501</v>
      </c>
      <c r="D98">
        <v>0.28111190400270403</v>
      </c>
      <c r="E98">
        <f t="shared" si="2"/>
        <v>192.87845007071883</v>
      </c>
      <c r="F98">
        <f t="shared" si="3"/>
        <v>77.371607207446701</v>
      </c>
    </row>
    <row r="99" spans="1:6" x14ac:dyDescent="0.2">
      <c r="A99">
        <v>14</v>
      </c>
      <c r="B99">
        <v>280.92335903278303</v>
      </c>
      <c r="C99">
        <v>0.73691302702176398</v>
      </c>
      <c r="D99">
        <v>0.31074543583209002</v>
      </c>
      <c r="E99">
        <f t="shared" si="2"/>
        <v>207.01608286596993</v>
      </c>
      <c r="F99">
        <f t="shared" si="3"/>
        <v>87.295651638056867</v>
      </c>
    </row>
    <row r="100" spans="1:6" x14ac:dyDescent="0.2">
      <c r="A100">
        <v>14</v>
      </c>
      <c r="B100">
        <v>279.76472279455402</v>
      </c>
      <c r="C100">
        <v>0.81148549728924302</v>
      </c>
      <c r="D100">
        <v>0.249934803474572</v>
      </c>
      <c r="E100">
        <f t="shared" si="2"/>
        <v>227.02501520092588</v>
      </c>
      <c r="F100">
        <f t="shared" si="3"/>
        <v>69.922941010774977</v>
      </c>
    </row>
    <row r="101" spans="1:6" x14ac:dyDescent="0.2">
      <c r="A101">
        <v>14</v>
      </c>
      <c r="B101">
        <v>292.61202573033103</v>
      </c>
      <c r="C101">
        <v>0.75172809648141603</v>
      </c>
      <c r="D101">
        <v>0.27044132770039397</v>
      </c>
      <c r="E101">
        <f t="shared" si="2"/>
        <v>219.96468110983287</v>
      </c>
      <c r="F101">
        <f t="shared" si="3"/>
        <v>79.134384739612571</v>
      </c>
    </row>
    <row r="102" spans="1:6" x14ac:dyDescent="0.2">
      <c r="A102">
        <v>14</v>
      </c>
      <c r="B102">
        <v>297.83586837485598</v>
      </c>
      <c r="C102">
        <v>0.80518933229533896</v>
      </c>
      <c r="D102">
        <v>0.28170949486022001</v>
      </c>
      <c r="E102">
        <f t="shared" si="2"/>
        <v>239.81426399035274</v>
      </c>
      <c r="F102">
        <f t="shared" si="3"/>
        <v>83.90319203113566</v>
      </c>
    </row>
    <row r="103" spans="1:6" x14ac:dyDescent="0.2">
      <c r="A103">
        <v>14</v>
      </c>
      <c r="B103">
        <v>311.62419608407498</v>
      </c>
      <c r="C103">
        <v>0.82240123239440099</v>
      </c>
      <c r="D103">
        <v>0.306627293239704</v>
      </c>
      <c r="E103">
        <f t="shared" si="2"/>
        <v>256.28012290345771</v>
      </c>
      <c r="F103">
        <f t="shared" si="3"/>
        <v>95.552483753258684</v>
      </c>
    </row>
    <row r="104" spans="1:6" x14ac:dyDescent="0.2">
      <c r="A104">
        <v>14</v>
      </c>
      <c r="B104">
        <v>292.79347806675298</v>
      </c>
      <c r="C104">
        <v>0.75111198647564104</v>
      </c>
      <c r="D104">
        <v>0.29530566124017399</v>
      </c>
      <c r="E104">
        <f t="shared" si="2"/>
        <v>219.92069093783087</v>
      </c>
      <c r="F104">
        <f t="shared" si="3"/>
        <v>86.463571647312875</v>
      </c>
    </row>
    <row r="105" spans="1:6" x14ac:dyDescent="0.2">
      <c r="A105">
        <v>14</v>
      </c>
      <c r="B105">
        <v>298.43381290042697</v>
      </c>
      <c r="C105">
        <v>0.76460408950214598</v>
      </c>
      <c r="D105">
        <v>0.28202746969736098</v>
      </c>
      <c r="E105">
        <f t="shared" si="2"/>
        <v>228.18371378938474</v>
      </c>
      <c r="F105">
        <f t="shared" si="3"/>
        <v>84.166533124443063</v>
      </c>
    </row>
    <row r="106" spans="1:6" x14ac:dyDescent="0.2">
      <c r="A106">
        <v>14</v>
      </c>
      <c r="B106">
        <v>304.63209826492601</v>
      </c>
      <c r="C106">
        <v>0.79875481674272897</v>
      </c>
      <c r="D106">
        <v>0.33440999162700502</v>
      </c>
      <c r="E106">
        <f t="shared" si="2"/>
        <v>243.326355823554</v>
      </c>
      <c r="F106">
        <f t="shared" si="3"/>
        <v>101.87201743009088</v>
      </c>
    </row>
    <row r="107" spans="1:6" x14ac:dyDescent="0.2">
      <c r="A107">
        <v>14</v>
      </c>
      <c r="B107">
        <v>283.54311531254598</v>
      </c>
      <c r="C107">
        <v>0.72295978012344198</v>
      </c>
      <c r="D107">
        <v>0.23939237873723801</v>
      </c>
      <c r="E107">
        <f t="shared" si="2"/>
        <v>204.99026830187398</v>
      </c>
      <c r="F107">
        <f t="shared" si="3"/>
        <v>67.878060849237357</v>
      </c>
    </row>
    <row r="108" spans="1:6" x14ac:dyDescent="0.2">
      <c r="A108">
        <v>14</v>
      </c>
      <c r="B108">
        <v>295.41034781872401</v>
      </c>
      <c r="C108">
        <v>0.85623078203042802</v>
      </c>
      <c r="D108">
        <v>0.28928127983626101</v>
      </c>
      <c r="E108">
        <f t="shared" si="2"/>
        <v>252.9394331327068</v>
      </c>
      <c r="F108">
        <f t="shared" si="3"/>
        <v>85.456683493875502</v>
      </c>
    </row>
    <row r="109" spans="1:6" x14ac:dyDescent="0.2">
      <c r="A109">
        <v>14</v>
      </c>
      <c r="B109">
        <v>273.37325476533999</v>
      </c>
      <c r="C109">
        <v>0.48577023241752598</v>
      </c>
      <c r="D109">
        <v>0</v>
      </c>
      <c r="E109">
        <f t="shared" si="2"/>
        <v>132.79658950409475</v>
      </c>
      <c r="F109">
        <f t="shared" si="3"/>
        <v>0</v>
      </c>
    </row>
    <row r="110" spans="1:6" x14ac:dyDescent="0.2">
      <c r="A110">
        <v>14</v>
      </c>
      <c r="B110">
        <v>308.896347144402</v>
      </c>
      <c r="C110">
        <v>0.74707224532706196</v>
      </c>
      <c r="D110">
        <v>0.237127766150037</v>
      </c>
      <c r="E110">
        <f t="shared" si="2"/>
        <v>230.76788763449599</v>
      </c>
      <c r="F110">
        <f t="shared" si="3"/>
        <v>73.247900770258411</v>
      </c>
    </row>
    <row r="111" spans="1:6" x14ac:dyDescent="0.2">
      <c r="A111">
        <v>14</v>
      </c>
      <c r="B111">
        <v>311.43476654228601</v>
      </c>
      <c r="C111">
        <v>0.73912532193602198</v>
      </c>
      <c r="D111">
        <v>0.30250339685499</v>
      </c>
      <c r="E111">
        <f t="shared" si="2"/>
        <v>230.18932208263701</v>
      </c>
      <c r="F111">
        <f t="shared" si="3"/>
        <v>94.21007477778231</v>
      </c>
    </row>
    <row r="112" spans="1:6" x14ac:dyDescent="0.2">
      <c r="A112">
        <v>14</v>
      </c>
      <c r="B112">
        <v>308.11047378897501</v>
      </c>
      <c r="C112">
        <v>0.71963203014793098</v>
      </c>
      <c r="D112">
        <v>0.29343910172902798</v>
      </c>
      <c r="E112">
        <f t="shared" si="2"/>
        <v>221.72616576260097</v>
      </c>
      <c r="F112">
        <f t="shared" si="3"/>
        <v>90.411660661942051</v>
      </c>
    </row>
    <row r="113" spans="1:6" x14ac:dyDescent="0.2">
      <c r="A113">
        <v>14</v>
      </c>
      <c r="B113">
        <v>318.68896070564801</v>
      </c>
      <c r="C113">
        <v>0.74268305798022605</v>
      </c>
      <c r="D113">
        <v>0.30509680967890401</v>
      </c>
      <c r="E113">
        <f t="shared" si="2"/>
        <v>236.68489188141078</v>
      </c>
      <c r="F113">
        <f t="shared" si="3"/>
        <v>97.230985191178817</v>
      </c>
    </row>
    <row r="114" spans="1:6" x14ac:dyDescent="0.2">
      <c r="A114">
        <v>14</v>
      </c>
      <c r="B114">
        <v>325.139486361124</v>
      </c>
      <c r="C114">
        <v>0.77036173523669704</v>
      </c>
      <c r="D114">
        <v>0.339169170544179</v>
      </c>
      <c r="E114">
        <f t="shared" si="2"/>
        <v>250.47501890712388</v>
      </c>
      <c r="F114">
        <f t="shared" si="3"/>
        <v>110.27728990026283</v>
      </c>
    </row>
    <row r="115" spans="1:6" x14ac:dyDescent="0.2">
      <c r="A115">
        <v>14</v>
      </c>
      <c r="B115">
        <v>295.69238239066902</v>
      </c>
      <c r="C115">
        <v>0.76200504833587501</v>
      </c>
      <c r="D115">
        <v>0.33630018733195</v>
      </c>
      <c r="E115">
        <f t="shared" si="2"/>
        <v>225.31908813615178</v>
      </c>
      <c r="F115">
        <f t="shared" si="3"/>
        <v>99.44140359061258</v>
      </c>
    </row>
    <row r="116" spans="1:6" x14ac:dyDescent="0.2">
      <c r="A116">
        <v>14</v>
      </c>
      <c r="B116">
        <v>286.336464435197</v>
      </c>
      <c r="C116">
        <v>0.72060606296997598</v>
      </c>
      <c r="D116">
        <v>0.17371339490683299</v>
      </c>
      <c r="E116">
        <f t="shared" si="2"/>
        <v>206.33579232138985</v>
      </c>
      <c r="F116">
        <f t="shared" si="3"/>
        <v>49.74047932265772</v>
      </c>
    </row>
    <row r="117" spans="1:6" x14ac:dyDescent="0.2">
      <c r="A117">
        <v>16</v>
      </c>
      <c r="B117">
        <v>296.24900611207102</v>
      </c>
      <c r="C117">
        <v>0.85259127866567797</v>
      </c>
      <c r="D117">
        <v>0.45124498811871899</v>
      </c>
      <c r="E117">
        <f t="shared" si="2"/>
        <v>252.57931892452689</v>
      </c>
      <c r="F117">
        <f t="shared" si="3"/>
        <v>133.68087924322379</v>
      </c>
    </row>
    <row r="118" spans="1:6" x14ac:dyDescent="0.2">
      <c r="A118">
        <v>16</v>
      </c>
      <c r="B118">
        <v>295.77053904213301</v>
      </c>
      <c r="C118">
        <v>0.83135187347821204</v>
      </c>
      <c r="D118">
        <v>0.46871102818163302</v>
      </c>
      <c r="E118">
        <f t="shared" si="2"/>
        <v>245.88939175233793</v>
      </c>
      <c r="F118">
        <f t="shared" si="3"/>
        <v>138.630913460274</v>
      </c>
    </row>
    <row r="119" spans="1:6" x14ac:dyDescent="0.2">
      <c r="A119">
        <v>16</v>
      </c>
      <c r="B119">
        <v>294.69698845622003</v>
      </c>
      <c r="C119">
        <v>0.84133149240122096</v>
      </c>
      <c r="D119">
        <v>0.44904203606758197</v>
      </c>
      <c r="E119">
        <f t="shared" si="2"/>
        <v>247.93785710401698</v>
      </c>
      <c r="F119">
        <f t="shared" si="3"/>
        <v>132.33133571936574</v>
      </c>
    </row>
    <row r="120" spans="1:6" x14ac:dyDescent="0.2">
      <c r="A120">
        <v>16</v>
      </c>
      <c r="B120">
        <v>295.58176373758801</v>
      </c>
      <c r="C120">
        <v>0.82501350808055396</v>
      </c>
      <c r="D120">
        <v>0.46711032126747598</v>
      </c>
      <c r="E120">
        <f t="shared" si="2"/>
        <v>243.85894782578495</v>
      </c>
      <c r="F120">
        <f t="shared" si="3"/>
        <v>138.06929262027191</v>
      </c>
    </row>
    <row r="121" spans="1:6" x14ac:dyDescent="0.2">
      <c r="A121">
        <v>16</v>
      </c>
      <c r="B121">
        <v>306.60166044239702</v>
      </c>
      <c r="C121">
        <v>0.82807733318235799</v>
      </c>
      <c r="D121">
        <v>0.53947900119122605</v>
      </c>
      <c r="E121">
        <f t="shared" si="2"/>
        <v>253.88988532842299</v>
      </c>
      <c r="F121">
        <f t="shared" si="3"/>
        <v>165.4051575390358</v>
      </c>
    </row>
    <row r="122" spans="1:6" x14ac:dyDescent="0.2">
      <c r="A122">
        <v>16</v>
      </c>
      <c r="B122">
        <v>290.06994697975603</v>
      </c>
      <c r="C122">
        <v>0.78408661416419301</v>
      </c>
      <c r="D122">
        <v>0.425802266338697</v>
      </c>
      <c r="E122">
        <f t="shared" si="2"/>
        <v>227.43996259814389</v>
      </c>
      <c r="F122">
        <f t="shared" si="3"/>
        <v>123.51244082072579</v>
      </c>
    </row>
    <row r="123" spans="1:6" x14ac:dyDescent="0.2">
      <c r="A123">
        <v>16</v>
      </c>
      <c r="B123">
        <v>299.65566394066599</v>
      </c>
      <c r="C123">
        <v>0.79886688906904402</v>
      </c>
      <c r="D123">
        <v>0.48891967649706602</v>
      </c>
      <c r="E123">
        <f t="shared" si="2"/>
        <v>239.38498804419876</v>
      </c>
      <c r="F123">
        <f t="shared" si="3"/>
        <v>146.50755027438396</v>
      </c>
    </row>
    <row r="124" spans="1:6" x14ac:dyDescent="0.2">
      <c r="A124">
        <v>16</v>
      </c>
      <c r="B124">
        <v>311.52712783315502</v>
      </c>
      <c r="C124">
        <v>0.87199180428745304</v>
      </c>
      <c r="D124">
        <v>0.463816553097951</v>
      </c>
      <c r="E124">
        <f t="shared" si="2"/>
        <v>271.64910228372088</v>
      </c>
      <c r="F124">
        <f t="shared" si="3"/>
        <v>144.49143862807873</v>
      </c>
    </row>
    <row r="125" spans="1:6" x14ac:dyDescent="0.2">
      <c r="A125">
        <v>16</v>
      </c>
      <c r="B125">
        <v>315.33509581244903</v>
      </c>
      <c r="C125">
        <v>0.69311886405788103</v>
      </c>
      <c r="D125">
        <v>0.38588568150130997</v>
      </c>
      <c r="E125">
        <f t="shared" si="2"/>
        <v>218.56470340710774</v>
      </c>
      <c r="F125">
        <f t="shared" si="3"/>
        <v>121.68329834886777</v>
      </c>
    </row>
    <row r="126" spans="1:6" x14ac:dyDescent="0.2">
      <c r="A126">
        <v>16</v>
      </c>
      <c r="B126">
        <v>318.16541431253302</v>
      </c>
      <c r="C126">
        <v>0.77642535858524298</v>
      </c>
      <c r="D126">
        <v>0.42194991459678399</v>
      </c>
      <c r="E126">
        <f t="shared" si="2"/>
        <v>247.03169589703086</v>
      </c>
      <c r="F126">
        <f t="shared" si="3"/>
        <v>134.2498693968237</v>
      </c>
    </row>
    <row r="127" spans="1:6" x14ac:dyDescent="0.2">
      <c r="A127">
        <v>16</v>
      </c>
      <c r="B127">
        <v>307.31378967294398</v>
      </c>
      <c r="C127">
        <v>0.70608220786013598</v>
      </c>
      <c r="D127">
        <v>0.309988810267746</v>
      </c>
      <c r="E127">
        <f t="shared" si="2"/>
        <v>216.98879911813773</v>
      </c>
      <c r="F127">
        <f t="shared" si="3"/>
        <v>95.263836039588227</v>
      </c>
    </row>
    <row r="128" spans="1:6" x14ac:dyDescent="0.2">
      <c r="A128">
        <v>16</v>
      </c>
      <c r="B128">
        <v>324.514979613798</v>
      </c>
      <c r="C128">
        <v>0.78118882794609801</v>
      </c>
      <c r="D128">
        <v>0.45167304142695602</v>
      </c>
      <c r="E128">
        <f t="shared" si="2"/>
        <v>253.50747657545475</v>
      </c>
      <c r="F128">
        <f t="shared" si="3"/>
        <v>146.57466783077078</v>
      </c>
    </row>
    <row r="129" spans="1:6" x14ac:dyDescent="0.2">
      <c r="A129">
        <v>16</v>
      </c>
      <c r="B129">
        <v>282.99625542562001</v>
      </c>
      <c r="C129">
        <v>0.77528344432672003</v>
      </c>
      <c r="D129">
        <v>0.38389083082798098</v>
      </c>
      <c r="E129">
        <f t="shared" si="2"/>
        <v>219.40231163793891</v>
      </c>
      <c r="F129">
        <f t="shared" si="3"/>
        <v>108.63966761654878</v>
      </c>
    </row>
    <row r="130" spans="1:6" x14ac:dyDescent="0.2">
      <c r="A130">
        <v>16</v>
      </c>
      <c r="B130">
        <v>289.72303766066602</v>
      </c>
      <c r="C130">
        <v>0.74217287450703595</v>
      </c>
      <c r="D130">
        <v>0.40573755660781202</v>
      </c>
      <c r="E130">
        <f t="shared" si="2"/>
        <v>215.02457967152674</v>
      </c>
      <c r="F130">
        <f t="shared" si="3"/>
        <v>117.55151739343174</v>
      </c>
    </row>
    <row r="131" spans="1:6" x14ac:dyDescent="0.2">
      <c r="A131">
        <v>16</v>
      </c>
      <c r="B131">
        <v>285.31532566443798</v>
      </c>
      <c r="C131">
        <v>0.81612466417907503</v>
      </c>
      <c r="D131">
        <v>0.39801450038939901</v>
      </c>
      <c r="E131">
        <f t="shared" si="2"/>
        <v>232.85287434303288</v>
      </c>
      <c r="F131">
        <f t="shared" si="3"/>
        <v>113.55963679776995</v>
      </c>
    </row>
    <row r="132" spans="1:6" x14ac:dyDescent="0.2">
      <c r="A132">
        <v>16</v>
      </c>
      <c r="B132">
        <v>269.600084750505</v>
      </c>
      <c r="C132">
        <v>0.69371230323932098</v>
      </c>
      <c r="D132">
        <v>0.27201448659981697</v>
      </c>
      <c r="E132">
        <f t="shared" si="2"/>
        <v>187.02489574578897</v>
      </c>
      <c r="F132">
        <f t="shared" si="3"/>
        <v>73.335128640675762</v>
      </c>
    </row>
    <row r="133" spans="1:6" x14ac:dyDescent="0.2">
      <c r="A133">
        <v>16</v>
      </c>
      <c r="B133">
        <v>290.86144963641101</v>
      </c>
      <c r="C133">
        <v>0.78864595921752401</v>
      </c>
      <c r="D133">
        <v>0.389620373336939</v>
      </c>
      <c r="E133">
        <f t="shared" si="2"/>
        <v>229.3867069479069</v>
      </c>
      <c r="F133">
        <f t="shared" si="3"/>
        <v>113.32554659666174</v>
      </c>
    </row>
    <row r="134" spans="1:6" x14ac:dyDescent="0.2">
      <c r="A134">
        <v>16</v>
      </c>
      <c r="B134">
        <v>286.79809153510797</v>
      </c>
      <c r="C134">
        <v>0.71780418290259196</v>
      </c>
      <c r="D134">
        <v>0.36480381807551998</v>
      </c>
      <c r="E134">
        <f t="shared" ref="E134:E192" si="4">C134*B134</f>
        <v>205.86486975238094</v>
      </c>
      <c r="F134">
        <f t="shared" ref="F134:F192" si="5">D134*B134</f>
        <v>104.62503880877986</v>
      </c>
    </row>
    <row r="135" spans="1:6" x14ac:dyDescent="0.2">
      <c r="A135">
        <v>16</v>
      </c>
      <c r="B135">
        <v>291.63309889850098</v>
      </c>
      <c r="C135">
        <v>0.76461452254614803</v>
      </c>
      <c r="D135">
        <v>0.406885147716533</v>
      </c>
      <c r="E135">
        <f t="shared" si="4"/>
        <v>222.98690267293088</v>
      </c>
      <c r="F135">
        <f t="shared" si="5"/>
        <v>118.66117652434684</v>
      </c>
    </row>
    <row r="136" spans="1:6" x14ac:dyDescent="0.2">
      <c r="A136">
        <v>18</v>
      </c>
      <c r="B136">
        <v>313.75053248800702</v>
      </c>
      <c r="C136">
        <v>0.81004157602123195</v>
      </c>
      <c r="D136">
        <v>0.57156281519665197</v>
      </c>
      <c r="E136">
        <f t="shared" si="4"/>
        <v>254.15097581408594</v>
      </c>
      <c r="F136">
        <f t="shared" si="5"/>
        <v>179.32813761829391</v>
      </c>
    </row>
    <row r="137" spans="1:6" x14ac:dyDescent="0.2">
      <c r="A137">
        <v>18</v>
      </c>
      <c r="B137">
        <v>298.69570608324699</v>
      </c>
      <c r="C137">
        <v>0.82289513565149197</v>
      </c>
      <c r="D137">
        <v>0.39505216099552498</v>
      </c>
      <c r="E137">
        <f t="shared" si="4"/>
        <v>245.7952435758917</v>
      </c>
      <c r="F137">
        <f t="shared" si="5"/>
        <v>118.0003841682709</v>
      </c>
    </row>
    <row r="138" spans="1:6" x14ac:dyDescent="0.2">
      <c r="A138">
        <v>18</v>
      </c>
      <c r="B138">
        <v>311.01050005164501</v>
      </c>
      <c r="C138">
        <v>0.82236730918057599</v>
      </c>
      <c r="D138">
        <v>0.552384239933009</v>
      </c>
      <c r="E138">
        <f t="shared" si="4"/>
        <v>255.76486805437671</v>
      </c>
      <c r="F138">
        <f t="shared" si="5"/>
        <v>171.79729868221298</v>
      </c>
    </row>
    <row r="139" spans="1:6" x14ac:dyDescent="0.2">
      <c r="A139">
        <v>18</v>
      </c>
      <c r="B139">
        <v>308.60167996607299</v>
      </c>
      <c r="C139">
        <v>0.81886697077896198</v>
      </c>
      <c r="D139">
        <v>0.524707623166208</v>
      </c>
      <c r="E139">
        <f t="shared" si="4"/>
        <v>252.70372285111688</v>
      </c>
      <c r="F139">
        <f t="shared" si="5"/>
        <v>161.92565400009696</v>
      </c>
    </row>
    <row r="140" spans="1:6" x14ac:dyDescent="0.2">
      <c r="A140">
        <v>18</v>
      </c>
      <c r="B140">
        <v>329.12470530788801</v>
      </c>
      <c r="C140">
        <v>0.83529306807650705</v>
      </c>
      <c r="D140">
        <v>0.53621301911687003</v>
      </c>
      <c r="E140">
        <f t="shared" si="4"/>
        <v>274.91558487640202</v>
      </c>
      <c r="F140">
        <f t="shared" si="5"/>
        <v>176.48095189909276</v>
      </c>
    </row>
    <row r="141" spans="1:6" x14ac:dyDescent="0.2">
      <c r="A141">
        <v>18</v>
      </c>
      <c r="B141">
        <v>298.73933262564702</v>
      </c>
      <c r="C141">
        <v>0.85650986965136899</v>
      </c>
      <c r="D141">
        <v>0.52823160818452397</v>
      </c>
      <c r="E141">
        <f t="shared" si="4"/>
        <v>255.87318684692988</v>
      </c>
      <c r="F141">
        <f t="shared" si="5"/>
        <v>157.80355810081696</v>
      </c>
    </row>
    <row r="142" spans="1:6" x14ac:dyDescent="0.2">
      <c r="A142">
        <v>18</v>
      </c>
      <c r="B142">
        <v>317.62242596565198</v>
      </c>
      <c r="C142">
        <v>0.85075190011866297</v>
      </c>
      <c r="D142">
        <v>0.50582659682752396</v>
      </c>
      <c r="E142">
        <f t="shared" si="4"/>
        <v>270.21788241057777</v>
      </c>
      <c r="F142">
        <f t="shared" si="5"/>
        <v>160.66187080230793</v>
      </c>
    </row>
    <row r="143" spans="1:6" x14ac:dyDescent="0.2">
      <c r="A143">
        <v>18</v>
      </c>
      <c r="B143">
        <v>307.350592857393</v>
      </c>
      <c r="C143">
        <v>0.83120026422654703</v>
      </c>
      <c r="D143">
        <v>0.46343871507823098</v>
      </c>
      <c r="E143">
        <f t="shared" si="4"/>
        <v>255.46989399325093</v>
      </c>
      <c r="F143">
        <f t="shared" si="5"/>
        <v>142.43816383236273</v>
      </c>
    </row>
    <row r="144" spans="1:6" x14ac:dyDescent="0.2">
      <c r="A144">
        <v>18</v>
      </c>
      <c r="B144">
        <v>314.81065814932401</v>
      </c>
      <c r="C144">
        <v>0.84736779443357202</v>
      </c>
      <c r="D144">
        <v>0.51651051387935398</v>
      </c>
      <c r="E144">
        <f t="shared" si="4"/>
        <v>266.7604130601739</v>
      </c>
      <c r="F144">
        <f t="shared" si="5"/>
        <v>162.60301481540498</v>
      </c>
    </row>
    <row r="145" spans="1:6" x14ac:dyDescent="0.2">
      <c r="A145">
        <v>18</v>
      </c>
      <c r="B145">
        <v>328.70232627944699</v>
      </c>
      <c r="C145">
        <v>0.79169406510932705</v>
      </c>
      <c r="D145">
        <v>0.51270026757395504</v>
      </c>
      <c r="E145">
        <f t="shared" si="4"/>
        <v>260.2316809030678</v>
      </c>
      <c r="F145">
        <f t="shared" si="5"/>
        <v>168.52577063565394</v>
      </c>
    </row>
    <row r="146" spans="1:6" x14ac:dyDescent="0.2">
      <c r="A146">
        <v>18</v>
      </c>
      <c r="B146">
        <v>317.77489668888597</v>
      </c>
      <c r="C146">
        <v>0.81567738119976996</v>
      </c>
      <c r="D146">
        <v>0.48513000831063302</v>
      </c>
      <c r="E146">
        <f t="shared" si="4"/>
        <v>259.20179554221795</v>
      </c>
      <c r="F146">
        <f t="shared" si="5"/>
        <v>154.16213827158981</v>
      </c>
    </row>
    <row r="147" spans="1:6" x14ac:dyDescent="0.2">
      <c r="A147">
        <v>18</v>
      </c>
      <c r="B147">
        <v>324.80278036924301</v>
      </c>
      <c r="C147">
        <v>0.84688549080005504</v>
      </c>
      <c r="D147">
        <v>0.51636558231441099</v>
      </c>
      <c r="E147">
        <f t="shared" si="4"/>
        <v>275.07076206622884</v>
      </c>
      <c r="F147">
        <f t="shared" si="5"/>
        <v>167.71697682270391</v>
      </c>
    </row>
    <row r="148" spans="1:6" x14ac:dyDescent="0.2">
      <c r="A148">
        <v>18</v>
      </c>
      <c r="B148">
        <v>314.24544203670399</v>
      </c>
      <c r="C148">
        <v>0.83134330395495804</v>
      </c>
      <c r="D148">
        <v>0.54719404809299599</v>
      </c>
      <c r="E148">
        <f t="shared" si="4"/>
        <v>261.24584403557975</v>
      </c>
      <c r="F148">
        <f t="shared" si="5"/>
        <v>171.95323552283699</v>
      </c>
    </row>
    <row r="149" spans="1:6" x14ac:dyDescent="0.2">
      <c r="A149">
        <v>18</v>
      </c>
      <c r="B149">
        <v>315.73252512271802</v>
      </c>
      <c r="C149">
        <v>0.81333451848587401</v>
      </c>
      <c r="D149">
        <v>0.52632948536122104</v>
      </c>
      <c r="E149">
        <f t="shared" si="4"/>
        <v>256.79616129101498</v>
      </c>
      <c r="F149">
        <f t="shared" si="5"/>
        <v>166.17933745963896</v>
      </c>
    </row>
    <row r="150" spans="1:6" x14ac:dyDescent="0.2">
      <c r="A150">
        <v>18</v>
      </c>
      <c r="B150">
        <v>306.64977519881597</v>
      </c>
      <c r="C150">
        <v>0.84936897887033402</v>
      </c>
      <c r="D150">
        <v>0.50664726945534</v>
      </c>
      <c r="E150">
        <f t="shared" si="4"/>
        <v>260.45880643143579</v>
      </c>
      <c r="F150">
        <f t="shared" si="5"/>
        <v>155.36327128357397</v>
      </c>
    </row>
    <row r="151" spans="1:6" x14ac:dyDescent="0.2">
      <c r="A151">
        <v>18</v>
      </c>
      <c r="B151">
        <v>304.501310171201</v>
      </c>
      <c r="C151">
        <v>0.80039784835299999</v>
      </c>
      <c r="D151">
        <v>0.47975940345163898</v>
      </c>
      <c r="E151">
        <f t="shared" si="4"/>
        <v>243.72219348169875</v>
      </c>
      <c r="F151">
        <f t="shared" si="5"/>
        <v>146.08736691797787</v>
      </c>
    </row>
    <row r="152" spans="1:6" x14ac:dyDescent="0.2">
      <c r="A152">
        <v>18</v>
      </c>
      <c r="B152">
        <v>289.39270627118299</v>
      </c>
      <c r="C152">
        <v>0.76853043888947703</v>
      </c>
      <c r="D152">
        <v>0.32545385303390401</v>
      </c>
      <c r="E152">
        <f t="shared" si="4"/>
        <v>222.40710356200577</v>
      </c>
      <c r="F152">
        <f t="shared" si="5"/>
        <v>94.183971295865334</v>
      </c>
    </row>
    <row r="153" spans="1:6" x14ac:dyDescent="0.2">
      <c r="A153">
        <v>18</v>
      </c>
      <c r="B153">
        <v>298.22693606355602</v>
      </c>
      <c r="C153">
        <v>0.84979182645127205</v>
      </c>
      <c r="D153">
        <v>0.55349581247676705</v>
      </c>
      <c r="E153">
        <f t="shared" si="4"/>
        <v>253.43081269441601</v>
      </c>
      <c r="F153">
        <f t="shared" si="5"/>
        <v>165.06736027895479</v>
      </c>
    </row>
    <row r="154" spans="1:6" x14ac:dyDescent="0.2">
      <c r="A154">
        <v>18</v>
      </c>
      <c r="B154">
        <v>318.52766425795801</v>
      </c>
      <c r="C154">
        <v>0.85806292230750403</v>
      </c>
      <c r="D154">
        <v>0.51374375553828999</v>
      </c>
      <c r="E154">
        <f t="shared" si="4"/>
        <v>273.31677842896693</v>
      </c>
      <c r="F154">
        <f t="shared" si="5"/>
        <v>163.6415984787229</v>
      </c>
    </row>
    <row r="155" spans="1:6" x14ac:dyDescent="0.2">
      <c r="A155">
        <v>18</v>
      </c>
      <c r="B155">
        <v>311.15514746649399</v>
      </c>
      <c r="C155">
        <v>0.82366242984580096</v>
      </c>
      <c r="D155">
        <v>0.50354554243985805</v>
      </c>
      <c r="E155">
        <f t="shared" si="4"/>
        <v>256.28680482128095</v>
      </c>
      <c r="F155">
        <f t="shared" si="5"/>
        <v>156.68078751396973</v>
      </c>
    </row>
    <row r="156" spans="1:6" x14ac:dyDescent="0.2">
      <c r="A156">
        <v>18</v>
      </c>
      <c r="B156">
        <v>301.88993926735998</v>
      </c>
      <c r="C156">
        <v>0.84527032068538899</v>
      </c>
      <c r="D156">
        <v>0.49949252267872202</v>
      </c>
      <c r="E156">
        <f t="shared" si="4"/>
        <v>255.17860577621397</v>
      </c>
      <c r="F156">
        <f t="shared" si="5"/>
        <v>150.79176733597981</v>
      </c>
    </row>
    <row r="157" spans="1:6" x14ac:dyDescent="0.2">
      <c r="A157">
        <v>18</v>
      </c>
      <c r="B157">
        <v>296.63387666459602</v>
      </c>
      <c r="C157">
        <v>0.79824905257328305</v>
      </c>
      <c r="D157">
        <v>0.46167995294125502</v>
      </c>
      <c r="E157">
        <f t="shared" si="4"/>
        <v>236.78771100865387</v>
      </c>
      <c r="F157">
        <f t="shared" si="5"/>
        <v>136.94991421929274</v>
      </c>
    </row>
    <row r="158" spans="1:6" x14ac:dyDescent="0.2">
      <c r="A158">
        <v>21</v>
      </c>
      <c r="B158">
        <v>332.42229372147</v>
      </c>
      <c r="C158">
        <v>0.86956341209274102</v>
      </c>
      <c r="D158">
        <v>0.65631171133626598</v>
      </c>
      <c r="E158">
        <f t="shared" si="4"/>
        <v>289.06226398413679</v>
      </c>
      <c r="F158">
        <f t="shared" si="5"/>
        <v>218.17264447866484</v>
      </c>
    </row>
    <row r="159" spans="1:6" x14ac:dyDescent="0.2">
      <c r="A159">
        <v>21</v>
      </c>
      <c r="B159">
        <v>331.46450414290899</v>
      </c>
      <c r="C159">
        <v>0.84900380207561099</v>
      </c>
      <c r="D159">
        <v>0.61975825815411201</v>
      </c>
      <c r="E159">
        <f t="shared" si="4"/>
        <v>281.41462427043683</v>
      </c>
      <c r="F159">
        <f t="shared" si="5"/>
        <v>205.42786372752573</v>
      </c>
    </row>
    <row r="160" spans="1:6" x14ac:dyDescent="0.2">
      <c r="A160">
        <v>21</v>
      </c>
      <c r="B160">
        <v>342.67018954653201</v>
      </c>
      <c r="C160">
        <v>0.86766758655681797</v>
      </c>
      <c r="D160">
        <v>0.64409697600977001</v>
      </c>
      <c r="E160">
        <f t="shared" si="4"/>
        <v>297.32381634880682</v>
      </c>
      <c r="F160">
        <f t="shared" si="5"/>
        <v>220.71283285561597</v>
      </c>
    </row>
    <row r="161" spans="1:6" x14ac:dyDescent="0.2">
      <c r="A161">
        <v>21</v>
      </c>
      <c r="B161">
        <v>330.68839353177202</v>
      </c>
      <c r="C161">
        <v>0.88845560469985696</v>
      </c>
      <c r="D161">
        <v>0.61255599947822104</v>
      </c>
      <c r="E161">
        <f t="shared" si="4"/>
        <v>293.80195664249476</v>
      </c>
      <c r="F161">
        <f t="shared" si="5"/>
        <v>202.56515941570188</v>
      </c>
    </row>
    <row r="162" spans="1:6" x14ac:dyDescent="0.2">
      <c r="A162">
        <v>21</v>
      </c>
      <c r="B162">
        <v>319.55886247537597</v>
      </c>
      <c r="C162">
        <v>0.849324150414973</v>
      </c>
      <c r="D162">
        <v>0.57798662419284697</v>
      </c>
      <c r="E162">
        <f t="shared" si="4"/>
        <v>271.40905937947389</v>
      </c>
      <c r="F162">
        <f t="shared" si="5"/>
        <v>184.70074815304881</v>
      </c>
    </row>
    <row r="163" spans="1:6" x14ac:dyDescent="0.2">
      <c r="A163">
        <v>21</v>
      </c>
      <c r="B163">
        <v>328.41869151089799</v>
      </c>
      <c r="C163">
        <v>0.847933583501712</v>
      </c>
      <c r="D163">
        <v>0.60862986973932598</v>
      </c>
      <c r="E163">
        <f t="shared" si="4"/>
        <v>278.47723798177901</v>
      </c>
      <c r="F163">
        <f t="shared" si="5"/>
        <v>199.88542543423773</v>
      </c>
    </row>
    <row r="164" spans="1:6" x14ac:dyDescent="0.2">
      <c r="A164">
        <v>21</v>
      </c>
      <c r="B164">
        <v>328.75019823750603</v>
      </c>
      <c r="C164">
        <v>0.784692363126548</v>
      </c>
      <c r="D164">
        <v>0.37793093491134</v>
      </c>
      <c r="E164">
        <f t="shared" si="4"/>
        <v>257.96776993330974</v>
      </c>
      <c r="F164">
        <f t="shared" si="5"/>
        <v>124.24486977218901</v>
      </c>
    </row>
    <row r="165" spans="1:6" x14ac:dyDescent="0.2">
      <c r="A165">
        <v>21</v>
      </c>
      <c r="B165">
        <v>344.443004202824</v>
      </c>
      <c r="C165">
        <v>0.854986699335612</v>
      </c>
      <c r="D165">
        <v>0.51876989169547705</v>
      </c>
      <c r="E165">
        <f t="shared" si="4"/>
        <v>294.49418727261479</v>
      </c>
      <c r="F165">
        <f t="shared" si="5"/>
        <v>178.68665998556375</v>
      </c>
    </row>
    <row r="166" spans="1:6" x14ac:dyDescent="0.2">
      <c r="A166">
        <v>21</v>
      </c>
      <c r="B166">
        <v>353.12836126907399</v>
      </c>
      <c r="C166">
        <v>0.87900248141774795</v>
      </c>
      <c r="D166">
        <v>0.60487833610041497</v>
      </c>
      <c r="E166">
        <f t="shared" si="4"/>
        <v>310.40070581449902</v>
      </c>
      <c r="F166">
        <f t="shared" si="5"/>
        <v>213.59969559430371</v>
      </c>
    </row>
    <row r="167" spans="1:6" x14ac:dyDescent="0.2">
      <c r="A167">
        <v>21</v>
      </c>
      <c r="B167">
        <v>355.73478135625498</v>
      </c>
      <c r="C167">
        <v>0.87926688625248794</v>
      </c>
      <c r="D167">
        <v>0.61955518639353702</v>
      </c>
      <c r="E167">
        <f t="shared" si="4"/>
        <v>312.78581353482394</v>
      </c>
      <c r="F167">
        <f t="shared" si="5"/>
        <v>220.39732876983868</v>
      </c>
    </row>
    <row r="168" spans="1:6" x14ac:dyDescent="0.2">
      <c r="A168">
        <v>21</v>
      </c>
      <c r="B168">
        <v>349.50004695069401</v>
      </c>
      <c r="C168">
        <v>0.84462988023265495</v>
      </c>
      <c r="D168">
        <v>0.56457465385066696</v>
      </c>
      <c r="E168">
        <f t="shared" si="4"/>
        <v>295.19818279727195</v>
      </c>
      <c r="F168">
        <f t="shared" si="5"/>
        <v>197.31886802797993</v>
      </c>
    </row>
    <row r="169" spans="1:6" x14ac:dyDescent="0.2">
      <c r="A169">
        <v>21</v>
      </c>
      <c r="B169">
        <v>347.822299940302</v>
      </c>
      <c r="C169">
        <v>0.85741849375452595</v>
      </c>
      <c r="D169">
        <v>0.59339927131477399</v>
      </c>
      <c r="E169">
        <f t="shared" si="4"/>
        <v>298.22927250904866</v>
      </c>
      <c r="F169">
        <f t="shared" si="5"/>
        <v>206.39749933160397</v>
      </c>
    </row>
    <row r="170" spans="1:6" x14ac:dyDescent="0.2">
      <c r="A170">
        <v>21</v>
      </c>
      <c r="B170">
        <v>367.05566772522502</v>
      </c>
      <c r="C170">
        <v>0.86760177109710002</v>
      </c>
      <c r="D170">
        <v>0.629966678282606</v>
      </c>
      <c r="E170">
        <f t="shared" si="4"/>
        <v>318.45814740963391</v>
      </c>
      <c r="F170">
        <f t="shared" si="5"/>
        <v>231.23283974166395</v>
      </c>
    </row>
    <row r="171" spans="1:6" x14ac:dyDescent="0.2">
      <c r="A171">
        <v>21</v>
      </c>
      <c r="B171">
        <v>364.11985588299501</v>
      </c>
      <c r="C171">
        <v>0.85982452703870604</v>
      </c>
      <c r="D171">
        <v>0.62091761365535203</v>
      </c>
      <c r="E171">
        <f t="shared" si="4"/>
        <v>313.07918286999796</v>
      </c>
      <c r="F171">
        <f t="shared" si="5"/>
        <v>226.08843199939994</v>
      </c>
    </row>
    <row r="172" spans="1:6" x14ac:dyDescent="0.2">
      <c r="A172">
        <v>24</v>
      </c>
      <c r="B172">
        <v>345.54488252201202</v>
      </c>
      <c r="C172">
        <v>0.91986667227519603</v>
      </c>
      <c r="D172">
        <v>0.78636667649891301</v>
      </c>
      <c r="E172">
        <f t="shared" si="4"/>
        <v>317.85522120724676</v>
      </c>
      <c r="F172">
        <f t="shared" si="5"/>
        <v>271.7249808500419</v>
      </c>
    </row>
    <row r="173" spans="1:6" x14ac:dyDescent="0.2">
      <c r="A173">
        <v>24</v>
      </c>
      <c r="B173">
        <v>335.50285247609202</v>
      </c>
      <c r="C173">
        <v>0.87626543234118903</v>
      </c>
      <c r="D173">
        <v>0.71860126949881897</v>
      </c>
      <c r="E173">
        <f t="shared" si="4"/>
        <v>293.98955207666495</v>
      </c>
      <c r="F173">
        <f t="shared" si="5"/>
        <v>241.09277570979469</v>
      </c>
    </row>
    <row r="174" spans="1:6" x14ac:dyDescent="0.2">
      <c r="A174">
        <v>24</v>
      </c>
      <c r="B174">
        <v>352.306454551711</v>
      </c>
      <c r="C174">
        <v>0.89748407897346905</v>
      </c>
      <c r="D174">
        <v>0.75956816791206105</v>
      </c>
      <c r="E174">
        <f t="shared" si="4"/>
        <v>316.18943387975065</v>
      </c>
      <c r="F174">
        <f t="shared" si="5"/>
        <v>267.6007682274369</v>
      </c>
    </row>
    <row r="175" spans="1:6" x14ac:dyDescent="0.2">
      <c r="A175">
        <v>24</v>
      </c>
      <c r="B175">
        <v>353.63838863551501</v>
      </c>
      <c r="C175">
        <v>0.89610308901068703</v>
      </c>
      <c r="D175">
        <v>0.79428621267345301</v>
      </c>
      <c r="E175">
        <f t="shared" si="4"/>
        <v>316.89645244904682</v>
      </c>
      <c r="F175">
        <f t="shared" si="5"/>
        <v>280.89009636524588</v>
      </c>
    </row>
    <row r="176" spans="1:6" x14ac:dyDescent="0.2">
      <c r="A176">
        <v>24</v>
      </c>
      <c r="B176">
        <v>334.94979680579701</v>
      </c>
      <c r="C176">
        <v>0.89381879312177703</v>
      </c>
      <c r="D176">
        <v>0.75500515724073802</v>
      </c>
      <c r="E176">
        <f t="shared" si="4"/>
        <v>299.38442313734191</v>
      </c>
      <c r="F176">
        <f t="shared" si="5"/>
        <v>252.88882400511403</v>
      </c>
    </row>
    <row r="177" spans="1:6" x14ac:dyDescent="0.2">
      <c r="A177">
        <v>24</v>
      </c>
      <c r="B177">
        <v>337.709658504581</v>
      </c>
      <c r="C177">
        <v>0.87485018524303804</v>
      </c>
      <c r="D177">
        <v>0.69637967768512499</v>
      </c>
      <c r="E177">
        <f t="shared" si="4"/>
        <v>295.44535730109578</v>
      </c>
      <c r="F177">
        <f t="shared" si="5"/>
        <v>235.17414314057373</v>
      </c>
    </row>
    <row r="178" spans="1:6" x14ac:dyDescent="0.2">
      <c r="A178">
        <v>24</v>
      </c>
      <c r="B178">
        <v>375.88513852254198</v>
      </c>
      <c r="C178">
        <v>0.90221907503986898</v>
      </c>
      <c r="D178">
        <v>0.75068739542353802</v>
      </c>
      <c r="E178">
        <f t="shared" si="4"/>
        <v>339.13074199904082</v>
      </c>
      <c r="F178">
        <f t="shared" si="5"/>
        <v>282.17223561590282</v>
      </c>
    </row>
    <row r="179" spans="1:6" x14ac:dyDescent="0.2">
      <c r="A179">
        <v>24</v>
      </c>
      <c r="B179">
        <v>368.31958429857099</v>
      </c>
      <c r="C179">
        <v>0.893020003831273</v>
      </c>
      <c r="D179">
        <v>0.78053335588165296</v>
      </c>
      <c r="E179">
        <f t="shared" si="4"/>
        <v>328.91675658144277</v>
      </c>
      <c r="F179">
        <f t="shared" si="5"/>
        <v>287.48572116949896</v>
      </c>
    </row>
    <row r="180" spans="1:6" x14ac:dyDescent="0.2">
      <c r="A180">
        <v>24</v>
      </c>
      <c r="B180">
        <v>343.26596546356399</v>
      </c>
      <c r="C180">
        <v>0.86734391856189796</v>
      </c>
      <c r="D180">
        <v>0.69765157702034297</v>
      </c>
      <c r="E180">
        <f t="shared" si="4"/>
        <v>297.7296475941007</v>
      </c>
      <c r="F180">
        <f t="shared" si="5"/>
        <v>239.48004214306602</v>
      </c>
    </row>
    <row r="181" spans="1:6" x14ac:dyDescent="0.2">
      <c r="A181">
        <v>24</v>
      </c>
      <c r="B181">
        <v>347.95376461601199</v>
      </c>
      <c r="C181">
        <v>0.86001693868861595</v>
      </c>
      <c r="D181">
        <v>0.716377630690751</v>
      </c>
      <c r="E181">
        <f t="shared" si="4"/>
        <v>299.24613145024188</v>
      </c>
      <c r="F181">
        <f t="shared" si="5"/>
        <v>249.26629348554593</v>
      </c>
    </row>
    <row r="182" spans="1:6" x14ac:dyDescent="0.2">
      <c r="A182">
        <v>24</v>
      </c>
      <c r="B182">
        <v>372.24942585599302</v>
      </c>
      <c r="C182">
        <v>0.86032118644017797</v>
      </c>
      <c r="D182">
        <v>0.73294042595391995</v>
      </c>
      <c r="E182">
        <f t="shared" si="4"/>
        <v>320.25406770410297</v>
      </c>
      <c r="F182">
        <f t="shared" si="5"/>
        <v>272.8366527479937</v>
      </c>
    </row>
    <row r="183" spans="1:6" x14ac:dyDescent="0.2">
      <c r="A183">
        <v>24</v>
      </c>
      <c r="B183">
        <v>406.66900710832101</v>
      </c>
      <c r="C183">
        <v>0.89823529192937002</v>
      </c>
      <c r="D183">
        <v>0.76292833126537096</v>
      </c>
      <c r="E183">
        <f t="shared" si="4"/>
        <v>365.28445431856977</v>
      </c>
      <c r="F183">
        <f t="shared" si="5"/>
        <v>310.25930697049665</v>
      </c>
    </row>
    <row r="184" spans="1:6" x14ac:dyDescent="0.2">
      <c r="A184">
        <v>24</v>
      </c>
      <c r="B184">
        <v>365.31114711687002</v>
      </c>
      <c r="C184">
        <v>0.87001538355947905</v>
      </c>
      <c r="D184">
        <v>0.72542090874389298</v>
      </c>
      <c r="E184">
        <f t="shared" si="4"/>
        <v>317.82631777743694</v>
      </c>
      <c r="F184">
        <f t="shared" si="5"/>
        <v>265.00434431579384</v>
      </c>
    </row>
    <row r="185" spans="1:6" x14ac:dyDescent="0.2">
      <c r="A185">
        <v>24</v>
      </c>
      <c r="B185">
        <v>370.259835495841</v>
      </c>
      <c r="C185">
        <v>0.85458065232514002</v>
      </c>
      <c r="D185">
        <v>0.71479501387178601</v>
      </c>
      <c r="E185">
        <f t="shared" si="4"/>
        <v>316.41689174783482</v>
      </c>
      <c r="F185">
        <f t="shared" si="5"/>
        <v>264.65988424941486</v>
      </c>
    </row>
    <row r="186" spans="1:6" x14ac:dyDescent="0.2">
      <c r="A186">
        <v>24</v>
      </c>
      <c r="B186">
        <v>351.73018682132601</v>
      </c>
      <c r="C186">
        <v>0.89928312790629605</v>
      </c>
      <c r="D186">
        <v>0.72808057582629904</v>
      </c>
      <c r="E186">
        <f t="shared" si="4"/>
        <v>316.30502258374793</v>
      </c>
      <c r="F186">
        <f t="shared" si="5"/>
        <v>256.08791695636279</v>
      </c>
    </row>
    <row r="187" spans="1:6" x14ac:dyDescent="0.2">
      <c r="A187">
        <v>24</v>
      </c>
      <c r="B187">
        <v>376.42965498483602</v>
      </c>
      <c r="C187">
        <v>0.87651533775349699</v>
      </c>
      <c r="D187">
        <v>0.72616932105485299</v>
      </c>
      <c r="E187">
        <f t="shared" si="4"/>
        <v>329.94636617946588</v>
      </c>
      <c r="F187">
        <f t="shared" si="5"/>
        <v>273.35166698525092</v>
      </c>
    </row>
    <row r="188" spans="1:6" x14ac:dyDescent="0.2">
      <c r="A188">
        <v>24</v>
      </c>
      <c r="B188">
        <v>357.52328116042997</v>
      </c>
      <c r="C188">
        <v>0.87804483633263097</v>
      </c>
      <c r="D188">
        <v>0.70838967341019399</v>
      </c>
      <c r="E188">
        <f t="shared" si="4"/>
        <v>313.92147089161494</v>
      </c>
      <c r="F188">
        <f t="shared" si="5"/>
        <v>253.26580037777796</v>
      </c>
    </row>
    <row r="189" spans="1:6" x14ac:dyDescent="0.2">
      <c r="A189">
        <v>24</v>
      </c>
      <c r="B189">
        <v>367.93886036283402</v>
      </c>
      <c r="C189">
        <v>0.82103281648342896</v>
      </c>
      <c r="D189">
        <v>0.66966014818118802</v>
      </c>
      <c r="E189">
        <f t="shared" si="4"/>
        <v>302.08987881740069</v>
      </c>
      <c r="F189">
        <f t="shared" si="5"/>
        <v>246.39399175219287</v>
      </c>
    </row>
    <row r="190" spans="1:6" x14ac:dyDescent="0.2">
      <c r="A190">
        <v>24</v>
      </c>
      <c r="B190">
        <v>379.37455704912003</v>
      </c>
      <c r="C190">
        <v>0.87069511541712896</v>
      </c>
      <c r="D190">
        <v>0.71774813620764</v>
      </c>
      <c r="E190">
        <f t="shared" si="4"/>
        <v>330.31957373620571</v>
      </c>
      <c r="F190">
        <f t="shared" si="5"/>
        <v>272.2953812466049</v>
      </c>
    </row>
    <row r="191" spans="1:6" x14ac:dyDescent="0.2">
      <c r="A191">
        <v>24</v>
      </c>
      <c r="B191">
        <v>354.59591980451</v>
      </c>
      <c r="C191">
        <v>0.84907265787000896</v>
      </c>
      <c r="D191">
        <v>0.65624559127541104</v>
      </c>
      <c r="E191">
        <f t="shared" si="4"/>
        <v>301.07770009827584</v>
      </c>
      <c r="F191">
        <f t="shared" si="5"/>
        <v>232.70200905595891</v>
      </c>
    </row>
    <row r="192" spans="1:6" x14ac:dyDescent="0.2">
      <c r="A192">
        <v>24</v>
      </c>
      <c r="B192">
        <v>353.16039010515601</v>
      </c>
      <c r="C192">
        <v>0.85895927658680304</v>
      </c>
      <c r="D192">
        <v>0.69529395330040999</v>
      </c>
      <c r="E192">
        <f t="shared" si="4"/>
        <v>303.35039320383794</v>
      </c>
      <c r="F192">
        <f t="shared" si="5"/>
        <v>245.55028378532893</v>
      </c>
    </row>
  </sheetData>
  <sortState xmlns:xlrd2="http://schemas.microsoft.com/office/spreadsheetml/2017/richdata2" ref="A5:D192">
    <sortCondition ref="A5:A192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389D-6A67-7146-8F0C-2331A244F964}">
  <dimension ref="A1:K191"/>
  <sheetViews>
    <sheetView workbookViewId="0">
      <selection activeCell="H5" sqref="H5:K13"/>
    </sheetView>
  </sheetViews>
  <sheetFormatPr baseColWidth="10" defaultRowHeight="16" x14ac:dyDescent="0.2"/>
  <cols>
    <col min="5" max="6" width="14.1640625" bestFit="1" customWidth="1"/>
    <col min="9" max="9" width="13.33203125" bestFit="1" customWidth="1"/>
    <col min="10" max="11" width="21" bestFit="1" customWidth="1"/>
  </cols>
  <sheetData>
    <row r="1" spans="1:11" x14ac:dyDescent="0.2">
      <c r="A1" t="s">
        <v>4</v>
      </c>
      <c r="B1" t="s">
        <v>10</v>
      </c>
    </row>
    <row r="2" spans="1:11" x14ac:dyDescent="0.2">
      <c r="A2" t="s">
        <v>6</v>
      </c>
      <c r="B2">
        <v>2500</v>
      </c>
    </row>
    <row r="4" spans="1:11" x14ac:dyDescent="0.2">
      <c r="A4" t="s">
        <v>0</v>
      </c>
      <c r="B4" t="s">
        <v>1</v>
      </c>
      <c r="C4" t="s">
        <v>2</v>
      </c>
      <c r="D4" t="s">
        <v>3</v>
      </c>
      <c r="E4" t="s">
        <v>12</v>
      </c>
      <c r="F4" t="s">
        <v>11</v>
      </c>
      <c r="H4" t="s">
        <v>0</v>
      </c>
      <c r="I4" t="s">
        <v>13</v>
      </c>
      <c r="J4" t="s">
        <v>16</v>
      </c>
      <c r="K4" t="s">
        <v>15</v>
      </c>
    </row>
    <row r="5" spans="1:11" x14ac:dyDescent="0.2">
      <c r="A5">
        <v>4</v>
      </c>
      <c r="B5">
        <v>161.69163311224699</v>
      </c>
      <c r="C5">
        <v>0.29867383825275101</v>
      </c>
      <c r="D5">
        <v>0</v>
      </c>
      <c r="E5">
        <f>C5*B5</f>
        <v>48.293060674990414</v>
      </c>
      <c r="F5">
        <f>D5*B5</f>
        <v>0</v>
      </c>
      <c r="H5">
        <v>4</v>
      </c>
      <c r="I5">
        <f>AVERAGEIF($A$5:$A$300, 4, $B$5:$B$300)</f>
        <v>153.34912558208219</v>
      </c>
      <c r="J5">
        <f>AVERAGEIF($A$5:$A$300, 4, $E$5:$E$300)</f>
        <v>50.103637925008663</v>
      </c>
      <c r="K5">
        <f>AVERAGEIF($A$5:$A$300, 4, $F$5:$F$300)</f>
        <v>0</v>
      </c>
    </row>
    <row r="6" spans="1:11" x14ac:dyDescent="0.2">
      <c r="A6">
        <v>4</v>
      </c>
      <c r="B6">
        <v>144.189915835455</v>
      </c>
      <c r="C6">
        <v>0.15330888478177701</v>
      </c>
      <c r="D6">
        <v>0</v>
      </c>
      <c r="E6">
        <f t="shared" ref="E6:E69" si="0">C6*B6</f>
        <v>22.105595193511896</v>
      </c>
      <c r="F6">
        <f t="shared" ref="F6:F69" si="1">D6*B6</f>
        <v>0</v>
      </c>
      <c r="H6">
        <v>5</v>
      </c>
      <c r="I6">
        <f>AVERAGEIF($A$5:$A$300, 5, $B$5:$B$300)</f>
        <v>155.8246307383296</v>
      </c>
      <c r="J6">
        <f>AVERAGEIF($A$5:$A$300, 5, $E$5:$E$300)</f>
        <v>24.453627389795855</v>
      </c>
      <c r="K6">
        <f>AVERAGEIF($A$5:$A$300, 5, $F$5:$F$300)</f>
        <v>0</v>
      </c>
    </row>
    <row r="7" spans="1:11" x14ac:dyDescent="0.2">
      <c r="A7">
        <v>4</v>
      </c>
      <c r="B7">
        <v>160.54245031521401</v>
      </c>
      <c r="C7">
        <v>0.124347739749151</v>
      </c>
      <c r="D7">
        <v>0</v>
      </c>
      <c r="E7">
        <f t="shared" si="0"/>
        <v>19.963090830487239</v>
      </c>
      <c r="F7">
        <f t="shared" si="1"/>
        <v>0</v>
      </c>
      <c r="H7">
        <v>7</v>
      </c>
      <c r="I7">
        <f>AVERAGEIF($A$5:$A$300, 7, $B$5:$B$300)</f>
        <v>173.62308942116087</v>
      </c>
      <c r="J7">
        <f>AVERAGEIF($A$5:$A$300, 7, $E$5:$E$300)</f>
        <v>18.008237017923761</v>
      </c>
      <c r="K7">
        <f>AVERAGEIF($A$5:$A$300, 7, $F$5:$F$300)</f>
        <v>0</v>
      </c>
    </row>
    <row r="8" spans="1:11" x14ac:dyDescent="0.2">
      <c r="A8">
        <v>4</v>
      </c>
      <c r="B8">
        <v>151.89655511368099</v>
      </c>
      <c r="C8">
        <v>0.57266527102593801</v>
      </c>
      <c r="D8">
        <v>0</v>
      </c>
      <c r="E8">
        <f t="shared" si="0"/>
        <v>86.985881902082454</v>
      </c>
      <c r="F8">
        <f t="shared" si="1"/>
        <v>0</v>
      </c>
      <c r="H8">
        <v>10</v>
      </c>
      <c r="I8">
        <f>AVERAGEIF($A$5:$A$300, 10, $B$5:$B$300)</f>
        <v>186.07991078926395</v>
      </c>
      <c r="J8">
        <f>AVERAGEIF($A$5:$A$300, 10, $E$5:$E$300)</f>
        <v>13.257531385949013</v>
      </c>
      <c r="K8">
        <f>AVERAGEIF($A$5:$A$300, 10, $F$5:$F$300)</f>
        <v>0</v>
      </c>
    </row>
    <row r="9" spans="1:11" x14ac:dyDescent="0.2">
      <c r="A9">
        <v>4</v>
      </c>
      <c r="B9">
        <v>148.42507353381399</v>
      </c>
      <c r="C9">
        <v>0.49297978624414601</v>
      </c>
      <c r="D9">
        <v>0</v>
      </c>
      <c r="E9">
        <f t="shared" si="0"/>
        <v>73.170561023971274</v>
      </c>
      <c r="F9">
        <f t="shared" si="1"/>
        <v>0</v>
      </c>
      <c r="H9">
        <v>12</v>
      </c>
      <c r="I9">
        <f ca="1">AVERAGEIF($A$5:$A$300, 12, $B$5:$B$155)</f>
        <v>210.81853365000592</v>
      </c>
      <c r="J9">
        <f ca="1">AVERAGEIF($A$5:$A$300, 12, $E$5:$E$155)</f>
        <v>28.451513739024282</v>
      </c>
      <c r="K9">
        <f ca="1">AVERAGEIF($A$5:$A$300, 12, $F$5:$F$155)</f>
        <v>0</v>
      </c>
    </row>
    <row r="10" spans="1:11" x14ac:dyDescent="0.2">
      <c r="A10">
        <v>5</v>
      </c>
      <c r="B10">
        <v>158.856494233815</v>
      </c>
      <c r="C10">
        <v>8.0679682466142502E-2</v>
      </c>
      <c r="D10">
        <v>0</v>
      </c>
      <c r="E10">
        <f t="shared" si="0"/>
        <v>12.816491512468792</v>
      </c>
      <c r="F10">
        <f t="shared" si="1"/>
        <v>0</v>
      </c>
      <c r="H10">
        <v>14</v>
      </c>
      <c r="I10">
        <f>AVERAGEIF($A$5:$A$300, 14, $B$5:$B$300)</f>
        <v>234.90236241336038</v>
      </c>
      <c r="J10">
        <f>AVERAGEIF($A$5:$A$300, 14, $E$5:$E$300)</f>
        <v>77.10226973587632</v>
      </c>
      <c r="K10">
        <f>AVERAGEIF($A$5:$A$300, 14, $F$5:$F$300)</f>
        <v>0</v>
      </c>
    </row>
    <row r="11" spans="1:11" x14ac:dyDescent="0.2">
      <c r="A11">
        <v>5</v>
      </c>
      <c r="B11">
        <v>155.609970171909</v>
      </c>
      <c r="C11">
        <v>0.248614512436617</v>
      </c>
      <c r="D11">
        <v>0</v>
      </c>
      <c r="E11">
        <f t="shared" si="0"/>
        <v>38.686896864565668</v>
      </c>
      <c r="F11">
        <f t="shared" si="1"/>
        <v>0</v>
      </c>
      <c r="H11">
        <v>16</v>
      </c>
      <c r="I11">
        <f>AVERAGEIF($A$5:$A$300, 16, $B$5:$B$300)</f>
        <v>261.52891877563883</v>
      </c>
      <c r="J11">
        <f>AVERAGEIF($A$5:$A$300, 16, $E$5:$E$300)</f>
        <v>137.06267946079257</v>
      </c>
      <c r="K11">
        <f>AVERAGEIF($A$5:$A$300, 16, $F$5:$F$300)</f>
        <v>13.292017227149991</v>
      </c>
    </row>
    <row r="12" spans="1:11" x14ac:dyDescent="0.2">
      <c r="A12">
        <v>5</v>
      </c>
      <c r="B12">
        <v>162.37148455397701</v>
      </c>
      <c r="C12">
        <v>0.25225551597146101</v>
      </c>
      <c r="D12">
        <v>0</v>
      </c>
      <c r="E12">
        <f t="shared" si="0"/>
        <v>40.959102615215585</v>
      </c>
      <c r="F12">
        <f t="shared" si="1"/>
        <v>0</v>
      </c>
      <c r="H12">
        <v>18</v>
      </c>
      <c r="I12">
        <f>AVERAGEIF($A$5:$A$300, 18, $B$5:$B$300)</f>
        <v>276.28099875688451</v>
      </c>
      <c r="J12">
        <f>AVERAGEIF($A$5:$A$300, 18, $E$5:$E$300)</f>
        <v>203.67550246543186</v>
      </c>
      <c r="K12">
        <f>AVERAGEIF($A$5:$A$300, 18, $F$5:$F$300)</f>
        <v>82.365316960200374</v>
      </c>
    </row>
    <row r="13" spans="1:11" x14ac:dyDescent="0.2">
      <c r="A13">
        <v>5</v>
      </c>
      <c r="B13">
        <v>157.110201030203</v>
      </c>
      <c r="C13">
        <v>0.22392853795239701</v>
      </c>
      <c r="D13">
        <v>0</v>
      </c>
      <c r="E13">
        <f t="shared" si="0"/>
        <v>35.181457614100538</v>
      </c>
      <c r="F13">
        <f t="shared" si="1"/>
        <v>0</v>
      </c>
      <c r="H13">
        <v>21</v>
      </c>
      <c r="I13">
        <f>AVERAGEIF($A$5:$A$300, 21, $B$5:$B$300)</f>
        <v>304.97340756134474</v>
      </c>
      <c r="J13">
        <f>AVERAGEIF($A$5:$A$300, 21, $E$5:$E$300)</f>
        <v>244.47334442859227</v>
      </c>
      <c r="K13">
        <f>AVERAGEIF($A$5:$A$300, 21, $F$5:$F$300)</f>
        <v>118.87112598697422</v>
      </c>
    </row>
    <row r="14" spans="1:11" x14ac:dyDescent="0.2">
      <c r="A14">
        <v>5</v>
      </c>
      <c r="B14">
        <v>150.36393282049099</v>
      </c>
      <c r="C14">
        <v>0</v>
      </c>
      <c r="D14">
        <v>0</v>
      </c>
      <c r="E14">
        <f t="shared" si="0"/>
        <v>0</v>
      </c>
      <c r="F14">
        <f t="shared" si="1"/>
        <v>0</v>
      </c>
    </row>
    <row r="15" spans="1:11" x14ac:dyDescent="0.2">
      <c r="A15">
        <v>5</v>
      </c>
      <c r="B15">
        <v>149.28404122147299</v>
      </c>
      <c r="C15">
        <v>0.15208093103249201</v>
      </c>
      <c r="D15">
        <v>0</v>
      </c>
      <c r="E15">
        <f t="shared" si="0"/>
        <v>22.703255977254528</v>
      </c>
      <c r="F15">
        <f t="shared" si="1"/>
        <v>0</v>
      </c>
    </row>
    <row r="16" spans="1:11" x14ac:dyDescent="0.2">
      <c r="A16">
        <v>5</v>
      </c>
      <c r="B16">
        <v>165.01074515096801</v>
      </c>
      <c r="C16">
        <v>0.23010478965159201</v>
      </c>
      <c r="D16">
        <v>0</v>
      </c>
      <c r="E16">
        <f t="shared" si="0"/>
        <v>37.96976280321595</v>
      </c>
      <c r="F16">
        <f t="shared" si="1"/>
        <v>0</v>
      </c>
    </row>
    <row r="17" spans="1:6" x14ac:dyDescent="0.2">
      <c r="A17">
        <v>5</v>
      </c>
      <c r="B17">
        <v>151.14032137259599</v>
      </c>
      <c r="C17">
        <v>0.15503924448794901</v>
      </c>
      <c r="D17">
        <v>0</v>
      </c>
      <c r="E17">
        <f t="shared" si="0"/>
        <v>23.432681237273094</v>
      </c>
      <c r="F17">
        <f t="shared" si="1"/>
        <v>0</v>
      </c>
    </row>
    <row r="18" spans="1:6" x14ac:dyDescent="0.2">
      <c r="A18">
        <v>5</v>
      </c>
      <c r="B18">
        <v>150.80155085626001</v>
      </c>
      <c r="C18">
        <v>0.21741570353686701</v>
      </c>
      <c r="D18">
        <v>0</v>
      </c>
      <c r="E18">
        <f t="shared" si="0"/>
        <v>32.786625273864402</v>
      </c>
      <c r="F18">
        <f t="shared" si="1"/>
        <v>0</v>
      </c>
    </row>
    <row r="19" spans="1:6" x14ac:dyDescent="0.2">
      <c r="A19">
        <v>5</v>
      </c>
      <c r="B19">
        <v>157.69756597160401</v>
      </c>
      <c r="C19">
        <v>0</v>
      </c>
      <c r="D19">
        <v>0</v>
      </c>
      <c r="E19">
        <f t="shared" si="0"/>
        <v>0</v>
      </c>
      <c r="F19">
        <f t="shared" si="1"/>
        <v>0</v>
      </c>
    </row>
    <row r="20" spans="1:6" x14ac:dyDescent="0.2">
      <c r="A20">
        <v>7</v>
      </c>
      <c r="B20">
        <v>161.155452127031</v>
      </c>
      <c r="C20">
        <v>0.138135422673274</v>
      </c>
      <c r="D20">
        <v>0</v>
      </c>
      <c r="E20">
        <f t="shared" si="0"/>
        <v>22.26127649567</v>
      </c>
      <c r="F20">
        <f t="shared" si="1"/>
        <v>0</v>
      </c>
    </row>
    <row r="21" spans="1:6" x14ac:dyDescent="0.2">
      <c r="A21">
        <v>7</v>
      </c>
      <c r="B21">
        <v>161.98941920314999</v>
      </c>
      <c r="C21">
        <v>0</v>
      </c>
      <c r="D21">
        <v>0</v>
      </c>
      <c r="E21">
        <f t="shared" si="0"/>
        <v>0</v>
      </c>
      <c r="F21">
        <f t="shared" si="1"/>
        <v>0</v>
      </c>
    </row>
    <row r="22" spans="1:6" x14ac:dyDescent="0.2">
      <c r="A22">
        <v>7</v>
      </c>
      <c r="B22">
        <v>158.765144445706</v>
      </c>
      <c r="C22">
        <v>8.6173573639945905E-2</v>
      </c>
      <c r="D22">
        <v>0</v>
      </c>
      <c r="E22">
        <f t="shared" si="0"/>
        <v>13.681359866348695</v>
      </c>
      <c r="F22">
        <f t="shared" si="1"/>
        <v>0</v>
      </c>
    </row>
    <row r="23" spans="1:6" x14ac:dyDescent="0.2">
      <c r="A23">
        <v>7</v>
      </c>
      <c r="B23">
        <v>161.74332918689399</v>
      </c>
      <c r="C23">
        <v>0.20045414646527099</v>
      </c>
      <c r="D23">
        <v>0</v>
      </c>
      <c r="E23">
        <f t="shared" si="0"/>
        <v>32.42212099861019</v>
      </c>
      <c r="F23">
        <f t="shared" si="1"/>
        <v>0</v>
      </c>
    </row>
    <row r="24" spans="1:6" x14ac:dyDescent="0.2">
      <c r="A24">
        <v>7</v>
      </c>
      <c r="B24">
        <v>177.27472851492001</v>
      </c>
      <c r="C24">
        <v>0</v>
      </c>
      <c r="D24">
        <v>0</v>
      </c>
      <c r="E24">
        <f t="shared" si="0"/>
        <v>0</v>
      </c>
      <c r="F24">
        <f t="shared" si="1"/>
        <v>0</v>
      </c>
    </row>
    <row r="25" spans="1:6" x14ac:dyDescent="0.2">
      <c r="A25">
        <v>7</v>
      </c>
      <c r="B25">
        <v>173.718757801572</v>
      </c>
      <c r="C25">
        <v>0</v>
      </c>
      <c r="D25">
        <v>0</v>
      </c>
      <c r="E25">
        <f t="shared" si="0"/>
        <v>0</v>
      </c>
      <c r="F25">
        <f t="shared" si="1"/>
        <v>0</v>
      </c>
    </row>
    <row r="26" spans="1:6" x14ac:dyDescent="0.2">
      <c r="A26">
        <v>7</v>
      </c>
      <c r="B26">
        <v>168.03627899677201</v>
      </c>
      <c r="C26">
        <v>0.23447542587057299</v>
      </c>
      <c r="D26">
        <v>0</v>
      </c>
      <c r="E26">
        <f t="shared" si="0"/>
        <v>39.400378079474535</v>
      </c>
      <c r="F26">
        <f t="shared" si="1"/>
        <v>0</v>
      </c>
    </row>
    <row r="27" spans="1:6" x14ac:dyDescent="0.2">
      <c r="A27">
        <v>7</v>
      </c>
      <c r="B27">
        <v>171.20660303509999</v>
      </c>
      <c r="C27">
        <v>0.27653213397215998</v>
      </c>
      <c r="D27">
        <v>0</v>
      </c>
      <c r="E27">
        <f t="shared" si="0"/>
        <v>47.344127287420683</v>
      </c>
      <c r="F27">
        <f t="shared" si="1"/>
        <v>0</v>
      </c>
    </row>
    <row r="28" spans="1:6" x14ac:dyDescent="0.2">
      <c r="A28">
        <v>7</v>
      </c>
      <c r="B28">
        <v>162.790418668261</v>
      </c>
      <c r="C28">
        <v>0.30068737725470002</v>
      </c>
      <c r="D28">
        <v>0</v>
      </c>
      <c r="E28">
        <f t="shared" si="0"/>
        <v>48.949024031553954</v>
      </c>
      <c r="F28">
        <f t="shared" si="1"/>
        <v>0</v>
      </c>
    </row>
    <row r="29" spans="1:6" x14ac:dyDescent="0.2">
      <c r="A29">
        <v>7</v>
      </c>
      <c r="B29">
        <v>171.46779231471501</v>
      </c>
      <c r="C29">
        <v>0.196499777638318</v>
      </c>
      <c r="D29">
        <v>0</v>
      </c>
      <c r="E29">
        <f t="shared" si="0"/>
        <v>33.693383061974792</v>
      </c>
      <c r="F29">
        <f t="shared" si="1"/>
        <v>0</v>
      </c>
    </row>
    <row r="30" spans="1:6" x14ac:dyDescent="0.2">
      <c r="A30">
        <v>7</v>
      </c>
      <c r="B30">
        <v>177.129029506747</v>
      </c>
      <c r="C30">
        <v>0</v>
      </c>
      <c r="D30">
        <v>0</v>
      </c>
      <c r="E30">
        <f t="shared" si="0"/>
        <v>0</v>
      </c>
      <c r="F30">
        <f t="shared" si="1"/>
        <v>0</v>
      </c>
    </row>
    <row r="31" spans="1:6" x14ac:dyDescent="0.2">
      <c r="A31">
        <v>7</v>
      </c>
      <c r="B31">
        <v>186.16070908114801</v>
      </c>
      <c r="C31">
        <v>8.2301830770535794E-2</v>
      </c>
      <c r="D31">
        <v>0</v>
      </c>
      <c r="E31">
        <f t="shared" si="0"/>
        <v>15.32136717491959</v>
      </c>
      <c r="F31">
        <f t="shared" si="1"/>
        <v>0</v>
      </c>
    </row>
    <row r="32" spans="1:6" x14ac:dyDescent="0.2">
      <c r="A32">
        <v>7</v>
      </c>
      <c r="B32">
        <v>184.35029099834699</v>
      </c>
      <c r="C32">
        <v>0</v>
      </c>
      <c r="D32">
        <v>0</v>
      </c>
      <c r="E32">
        <f t="shared" si="0"/>
        <v>0</v>
      </c>
      <c r="F32">
        <f t="shared" si="1"/>
        <v>0</v>
      </c>
    </row>
    <row r="33" spans="1:6" x14ac:dyDescent="0.2">
      <c r="A33">
        <v>7</v>
      </c>
      <c r="B33">
        <v>171.58820711841301</v>
      </c>
      <c r="C33">
        <v>0</v>
      </c>
      <c r="D33">
        <v>0</v>
      </c>
      <c r="E33">
        <f t="shared" si="0"/>
        <v>0</v>
      </c>
      <c r="F33">
        <f t="shared" si="1"/>
        <v>0</v>
      </c>
    </row>
    <row r="34" spans="1:6" x14ac:dyDescent="0.2">
      <c r="A34">
        <v>7</v>
      </c>
      <c r="B34">
        <v>175.162163285894</v>
      </c>
      <c r="C34">
        <v>0</v>
      </c>
      <c r="D34">
        <v>0</v>
      </c>
      <c r="E34">
        <f t="shared" si="0"/>
        <v>0</v>
      </c>
      <c r="F34">
        <f t="shared" si="1"/>
        <v>0</v>
      </c>
    </row>
    <row r="35" spans="1:6" x14ac:dyDescent="0.2">
      <c r="A35">
        <v>7</v>
      </c>
      <c r="B35">
        <v>182.62696502225299</v>
      </c>
      <c r="C35">
        <v>0.20470899202554499</v>
      </c>
      <c r="D35">
        <v>0</v>
      </c>
      <c r="E35">
        <f t="shared" si="0"/>
        <v>37.385381926389869</v>
      </c>
      <c r="F35">
        <f t="shared" si="1"/>
        <v>0</v>
      </c>
    </row>
    <row r="36" spans="1:6" x14ac:dyDescent="0.2">
      <c r="A36">
        <v>7</v>
      </c>
      <c r="B36">
        <v>179.092143333417</v>
      </c>
      <c r="C36">
        <v>0.16632317841817301</v>
      </c>
      <c r="D36">
        <v>0</v>
      </c>
      <c r="E36">
        <f t="shared" si="0"/>
        <v>29.787174508936928</v>
      </c>
      <c r="F36">
        <f t="shared" si="1"/>
        <v>0</v>
      </c>
    </row>
    <row r="37" spans="1:6" x14ac:dyDescent="0.2">
      <c r="A37">
        <v>7</v>
      </c>
      <c r="B37">
        <v>179.555605412891</v>
      </c>
      <c r="C37">
        <v>0.14158950887810101</v>
      </c>
      <c r="D37">
        <v>0</v>
      </c>
      <c r="E37">
        <f t="shared" si="0"/>
        <v>25.423189986721333</v>
      </c>
      <c r="F37">
        <f t="shared" si="1"/>
        <v>0</v>
      </c>
    </row>
    <row r="38" spans="1:6" x14ac:dyDescent="0.2">
      <c r="A38">
        <v>7</v>
      </c>
      <c r="B38">
        <v>176.835880883578</v>
      </c>
      <c r="C38">
        <v>0</v>
      </c>
      <c r="D38">
        <v>0</v>
      </c>
      <c r="E38">
        <f t="shared" si="0"/>
        <v>0</v>
      </c>
      <c r="F38">
        <f t="shared" si="1"/>
        <v>0</v>
      </c>
    </row>
    <row r="39" spans="1:6" x14ac:dyDescent="0.2">
      <c r="A39">
        <v>7</v>
      </c>
      <c r="B39">
        <v>180.37402278495699</v>
      </c>
      <c r="C39">
        <v>0.10830285752211</v>
      </c>
      <c r="D39">
        <v>0</v>
      </c>
      <c r="E39">
        <f t="shared" si="0"/>
        <v>19.535022090369019</v>
      </c>
      <c r="F39">
        <f t="shared" si="1"/>
        <v>0</v>
      </c>
    </row>
    <row r="40" spans="1:6" x14ac:dyDescent="0.2">
      <c r="A40">
        <v>7</v>
      </c>
      <c r="B40">
        <v>177.622534207992</v>
      </c>
      <c r="C40">
        <v>0</v>
      </c>
      <c r="D40">
        <v>0</v>
      </c>
      <c r="E40">
        <f t="shared" si="0"/>
        <v>0</v>
      </c>
      <c r="F40">
        <f t="shared" si="1"/>
        <v>0</v>
      </c>
    </row>
    <row r="41" spans="1:6" x14ac:dyDescent="0.2">
      <c r="A41">
        <v>7</v>
      </c>
      <c r="B41">
        <v>181.062491335781</v>
      </c>
      <c r="C41">
        <v>0.17108683669046301</v>
      </c>
      <c r="D41">
        <v>0</v>
      </c>
      <c r="E41">
        <f t="shared" si="0"/>
        <v>30.977408885933137</v>
      </c>
      <c r="F41">
        <f t="shared" si="1"/>
        <v>0</v>
      </c>
    </row>
    <row r="42" spans="1:6" x14ac:dyDescent="0.2">
      <c r="A42">
        <v>10</v>
      </c>
      <c r="B42">
        <v>166.205969000995</v>
      </c>
      <c r="C42">
        <v>0</v>
      </c>
      <c r="D42">
        <v>0</v>
      </c>
      <c r="E42">
        <f t="shared" si="0"/>
        <v>0</v>
      </c>
      <c r="F42">
        <f t="shared" si="1"/>
        <v>0</v>
      </c>
    </row>
    <row r="43" spans="1:6" x14ac:dyDescent="0.2">
      <c r="A43">
        <v>10</v>
      </c>
      <c r="B43">
        <v>185.199302482099</v>
      </c>
      <c r="C43">
        <v>0.154436139500469</v>
      </c>
      <c r="D43">
        <v>0</v>
      </c>
      <c r="E43">
        <f t="shared" si="0"/>
        <v>28.601465313514996</v>
      </c>
      <c r="F43">
        <f t="shared" si="1"/>
        <v>0</v>
      </c>
    </row>
    <row r="44" spans="1:6" x14ac:dyDescent="0.2">
      <c r="A44">
        <v>10</v>
      </c>
      <c r="B44">
        <v>159.51760108798399</v>
      </c>
      <c r="C44">
        <v>6.9936010744755597E-2</v>
      </c>
      <c r="D44">
        <v>0</v>
      </c>
      <c r="E44">
        <f t="shared" si="0"/>
        <v>11.156024663666885</v>
      </c>
      <c r="F44">
        <f t="shared" si="1"/>
        <v>0</v>
      </c>
    </row>
    <row r="45" spans="1:6" x14ac:dyDescent="0.2">
      <c r="A45">
        <v>10</v>
      </c>
      <c r="B45">
        <v>179.19920251005999</v>
      </c>
      <c r="C45">
        <v>0.15817221342012899</v>
      </c>
      <c r="D45">
        <v>0</v>
      </c>
      <c r="E45">
        <f t="shared" si="0"/>
        <v>28.344334504138125</v>
      </c>
      <c r="F45">
        <f t="shared" si="1"/>
        <v>0</v>
      </c>
    </row>
    <row r="46" spans="1:6" x14ac:dyDescent="0.2">
      <c r="A46">
        <v>10</v>
      </c>
      <c r="B46">
        <v>173.742818473451</v>
      </c>
      <c r="C46">
        <v>0</v>
      </c>
      <c r="D46">
        <v>0</v>
      </c>
      <c r="E46">
        <f t="shared" si="0"/>
        <v>0</v>
      </c>
      <c r="F46">
        <f t="shared" si="1"/>
        <v>0</v>
      </c>
    </row>
    <row r="47" spans="1:6" x14ac:dyDescent="0.2">
      <c r="A47">
        <v>10</v>
      </c>
      <c r="B47">
        <v>188.24911781203599</v>
      </c>
      <c r="C47">
        <v>0.19095856110231599</v>
      </c>
      <c r="D47">
        <v>0</v>
      </c>
      <c r="E47">
        <f t="shared" si="0"/>
        <v>35.947780666166757</v>
      </c>
      <c r="F47">
        <f t="shared" si="1"/>
        <v>0</v>
      </c>
    </row>
    <row r="48" spans="1:6" x14ac:dyDescent="0.2">
      <c r="A48">
        <v>10</v>
      </c>
      <c r="B48">
        <v>184.67012634688299</v>
      </c>
      <c r="C48">
        <v>0.13500199503677701</v>
      </c>
      <c r="D48">
        <v>0</v>
      </c>
      <c r="E48">
        <f t="shared" si="0"/>
        <v>24.93083548052288</v>
      </c>
      <c r="F48">
        <f t="shared" si="1"/>
        <v>0</v>
      </c>
    </row>
    <row r="49" spans="1:6" x14ac:dyDescent="0.2">
      <c r="A49">
        <v>10</v>
      </c>
      <c r="B49">
        <v>169.75853371508401</v>
      </c>
      <c r="C49">
        <v>0</v>
      </c>
      <c r="D49">
        <v>0</v>
      </c>
      <c r="E49">
        <f t="shared" si="0"/>
        <v>0</v>
      </c>
      <c r="F49">
        <f t="shared" si="1"/>
        <v>0</v>
      </c>
    </row>
    <row r="50" spans="1:6" x14ac:dyDescent="0.2">
      <c r="A50">
        <v>10</v>
      </c>
      <c r="B50">
        <v>189.04810989336301</v>
      </c>
      <c r="C50">
        <v>0</v>
      </c>
      <c r="D50">
        <v>0</v>
      </c>
      <c r="E50">
        <f t="shared" si="0"/>
        <v>0</v>
      </c>
      <c r="F50">
        <f t="shared" si="1"/>
        <v>0</v>
      </c>
    </row>
    <row r="51" spans="1:6" x14ac:dyDescent="0.2">
      <c r="A51">
        <v>10</v>
      </c>
      <c r="B51">
        <v>192.92719634483799</v>
      </c>
      <c r="C51">
        <v>8.9919608981382196E-2</v>
      </c>
      <c r="D51">
        <v>0</v>
      </c>
      <c r="E51">
        <f t="shared" si="0"/>
        <v>17.347938057202182</v>
      </c>
      <c r="F51">
        <f t="shared" si="1"/>
        <v>0</v>
      </c>
    </row>
    <row r="52" spans="1:6" x14ac:dyDescent="0.2">
      <c r="A52">
        <v>10</v>
      </c>
      <c r="B52">
        <v>197.86019659055401</v>
      </c>
      <c r="C52">
        <v>9.1701530964474406E-2</v>
      </c>
      <c r="D52">
        <v>0</v>
      </c>
      <c r="E52">
        <f t="shared" si="0"/>
        <v>18.144082944285682</v>
      </c>
      <c r="F52">
        <f t="shared" si="1"/>
        <v>0</v>
      </c>
    </row>
    <row r="53" spans="1:6" x14ac:dyDescent="0.2">
      <c r="A53">
        <v>10</v>
      </c>
      <c r="B53">
        <v>195.24687292950301</v>
      </c>
      <c r="C53">
        <v>0</v>
      </c>
      <c r="D53">
        <v>0</v>
      </c>
      <c r="E53">
        <f t="shared" si="0"/>
        <v>0</v>
      </c>
      <c r="F53">
        <f t="shared" si="1"/>
        <v>0</v>
      </c>
    </row>
    <row r="54" spans="1:6" x14ac:dyDescent="0.2">
      <c r="A54">
        <v>10</v>
      </c>
      <c r="B54">
        <v>184.23421356570401</v>
      </c>
      <c r="C54">
        <v>5.7313214969709099E-2</v>
      </c>
      <c r="D54">
        <v>0</v>
      </c>
      <c r="E54">
        <f t="shared" si="0"/>
        <v>10.55905508686649</v>
      </c>
      <c r="F54">
        <f t="shared" si="1"/>
        <v>0</v>
      </c>
    </row>
    <row r="55" spans="1:6" x14ac:dyDescent="0.2">
      <c r="A55">
        <v>10</v>
      </c>
      <c r="B55">
        <v>181.17924367229301</v>
      </c>
      <c r="C55">
        <v>0</v>
      </c>
      <c r="D55">
        <v>0</v>
      </c>
      <c r="E55">
        <f t="shared" si="0"/>
        <v>0</v>
      </c>
      <c r="F55">
        <f t="shared" si="1"/>
        <v>0</v>
      </c>
    </row>
    <row r="56" spans="1:6" x14ac:dyDescent="0.2">
      <c r="A56">
        <v>10</v>
      </c>
      <c r="B56">
        <v>200.63685858837701</v>
      </c>
      <c r="C56">
        <v>0</v>
      </c>
      <c r="D56">
        <v>0</v>
      </c>
      <c r="E56">
        <f t="shared" si="0"/>
        <v>0</v>
      </c>
      <c r="F56">
        <f t="shared" si="1"/>
        <v>0</v>
      </c>
    </row>
    <row r="57" spans="1:6" x14ac:dyDescent="0.2">
      <c r="A57">
        <v>10</v>
      </c>
      <c r="B57">
        <v>176.980431884008</v>
      </c>
      <c r="C57">
        <v>0.182596186346246</v>
      </c>
      <c r="D57">
        <v>0</v>
      </c>
      <c r="E57">
        <f t="shared" si="0"/>
        <v>32.315951919931422</v>
      </c>
      <c r="F57">
        <f t="shared" si="1"/>
        <v>0</v>
      </c>
    </row>
    <row r="58" spans="1:6" x14ac:dyDescent="0.2">
      <c r="A58">
        <v>10</v>
      </c>
      <c r="B58">
        <v>174.746153966192</v>
      </c>
      <c r="C58">
        <v>0.22211981299217001</v>
      </c>
      <c r="D58">
        <v>0</v>
      </c>
      <c r="E58">
        <f t="shared" si="0"/>
        <v>38.814583040071511</v>
      </c>
      <c r="F58">
        <f t="shared" si="1"/>
        <v>0</v>
      </c>
    </row>
    <row r="59" spans="1:6" x14ac:dyDescent="0.2">
      <c r="A59">
        <v>10</v>
      </c>
      <c r="B59">
        <v>186.15674654286201</v>
      </c>
      <c r="C59">
        <v>0</v>
      </c>
      <c r="D59">
        <v>0</v>
      </c>
      <c r="E59">
        <f t="shared" si="0"/>
        <v>0</v>
      </c>
      <c r="F59">
        <f t="shared" si="1"/>
        <v>0</v>
      </c>
    </row>
    <row r="60" spans="1:6" x14ac:dyDescent="0.2">
      <c r="A60">
        <v>10</v>
      </c>
      <c r="B60">
        <v>180.24174325624799</v>
      </c>
      <c r="C60">
        <v>0</v>
      </c>
      <c r="D60">
        <v>0</v>
      </c>
      <c r="E60">
        <f t="shared" si="0"/>
        <v>0</v>
      </c>
      <c r="F60">
        <f t="shared" si="1"/>
        <v>0</v>
      </c>
    </row>
    <row r="61" spans="1:6" x14ac:dyDescent="0.2">
      <c r="A61">
        <v>10</v>
      </c>
      <c r="B61">
        <v>203.806781025796</v>
      </c>
      <c r="C61">
        <v>4.7176801828150997E-2</v>
      </c>
      <c r="D61">
        <v>0</v>
      </c>
      <c r="E61">
        <f t="shared" si="0"/>
        <v>9.6149521196873433</v>
      </c>
      <c r="F61">
        <f t="shared" si="1"/>
        <v>0</v>
      </c>
    </row>
    <row r="62" spans="1:6" x14ac:dyDescent="0.2">
      <c r="A62">
        <v>10</v>
      </c>
      <c r="B62">
        <v>190.487660577078</v>
      </c>
      <c r="C62">
        <v>0</v>
      </c>
      <c r="D62">
        <v>0</v>
      </c>
      <c r="E62">
        <f t="shared" si="0"/>
        <v>0</v>
      </c>
      <c r="F62">
        <f t="shared" si="1"/>
        <v>0</v>
      </c>
    </row>
    <row r="63" spans="1:6" x14ac:dyDescent="0.2">
      <c r="A63">
        <v>10</v>
      </c>
      <c r="B63">
        <v>201.08001201766601</v>
      </c>
      <c r="C63">
        <v>7.5998410318049894E-2</v>
      </c>
      <c r="D63">
        <v>0</v>
      </c>
      <c r="E63">
        <f t="shared" si="0"/>
        <v>15.281761260076985</v>
      </c>
      <c r="F63">
        <f t="shared" si="1"/>
        <v>0</v>
      </c>
    </row>
    <row r="64" spans="1:6" x14ac:dyDescent="0.2">
      <c r="A64">
        <v>10</v>
      </c>
      <c r="B64">
        <v>198.51403558225201</v>
      </c>
      <c r="C64">
        <v>0.111800409132044</v>
      </c>
      <c r="D64">
        <v>0</v>
      </c>
      <c r="E64">
        <f t="shared" si="0"/>
        <v>22.193950396548917</v>
      </c>
      <c r="F64">
        <f t="shared" si="1"/>
        <v>0</v>
      </c>
    </row>
    <row r="65" spans="1:6" x14ac:dyDescent="0.2">
      <c r="A65">
        <v>10</v>
      </c>
      <c r="B65">
        <v>196.844765076432</v>
      </c>
      <c r="C65">
        <v>0.25303964888106101</v>
      </c>
      <c r="D65">
        <v>0</v>
      </c>
      <c r="E65">
        <f t="shared" si="0"/>
        <v>49.809530239015295</v>
      </c>
      <c r="F65">
        <f t="shared" si="1"/>
        <v>0</v>
      </c>
    </row>
    <row r="66" spans="1:6" x14ac:dyDescent="0.2">
      <c r="A66">
        <v>10</v>
      </c>
      <c r="B66">
        <v>174.44054389820101</v>
      </c>
      <c r="C66">
        <v>0</v>
      </c>
      <c r="D66">
        <v>0</v>
      </c>
      <c r="E66">
        <f t="shared" si="0"/>
        <v>0</v>
      </c>
      <c r="F66">
        <f t="shared" si="1"/>
        <v>0</v>
      </c>
    </row>
    <row r="67" spans="1:6" x14ac:dyDescent="0.2">
      <c r="A67">
        <v>10</v>
      </c>
      <c r="B67">
        <v>198.81850703919599</v>
      </c>
      <c r="C67">
        <v>0</v>
      </c>
      <c r="D67">
        <v>0</v>
      </c>
      <c r="E67">
        <f t="shared" si="0"/>
        <v>0</v>
      </c>
      <c r="F67">
        <f t="shared" si="1"/>
        <v>0</v>
      </c>
    </row>
    <row r="68" spans="1:6" x14ac:dyDescent="0.2">
      <c r="A68">
        <v>10</v>
      </c>
      <c r="B68">
        <v>187.29974416781101</v>
      </c>
      <c r="C68">
        <v>0</v>
      </c>
      <c r="D68">
        <v>0</v>
      </c>
      <c r="E68">
        <f t="shared" si="0"/>
        <v>0</v>
      </c>
      <c r="F68">
        <f t="shared" si="1"/>
        <v>0</v>
      </c>
    </row>
    <row r="69" spans="1:6" x14ac:dyDescent="0.2">
      <c r="A69">
        <v>10</v>
      </c>
      <c r="B69">
        <v>193.14501405242399</v>
      </c>
      <c r="C69">
        <v>0.14573833682932499</v>
      </c>
      <c r="D69">
        <v>0</v>
      </c>
      <c r="E69">
        <f t="shared" si="0"/>
        <v>28.148633114876876</v>
      </c>
      <c r="F69">
        <f t="shared" si="1"/>
        <v>0</v>
      </c>
    </row>
    <row r="70" spans="1:6" x14ac:dyDescent="0.2">
      <c r="A70">
        <v>12</v>
      </c>
      <c r="B70">
        <v>208.917263347682</v>
      </c>
      <c r="C70">
        <v>0.201715052539162</v>
      </c>
      <c r="D70">
        <v>0</v>
      </c>
      <c r="E70">
        <f t="shared" ref="E70:E133" si="2">C70*B70</f>
        <v>42.141756752515619</v>
      </c>
      <c r="F70">
        <f t="shared" ref="F70:F133" si="3">D70*B70</f>
        <v>0</v>
      </c>
    </row>
    <row r="71" spans="1:6" x14ac:dyDescent="0.2">
      <c r="A71">
        <v>12</v>
      </c>
      <c r="B71">
        <v>187.51754226970701</v>
      </c>
      <c r="C71">
        <v>3.1596509485413198E-2</v>
      </c>
      <c r="D71">
        <v>0</v>
      </c>
      <c r="E71">
        <f t="shared" si="2"/>
        <v>5.9248998030061673</v>
      </c>
      <c r="F71">
        <f t="shared" si="3"/>
        <v>0</v>
      </c>
    </row>
    <row r="72" spans="1:6" x14ac:dyDescent="0.2">
      <c r="A72">
        <v>12</v>
      </c>
      <c r="B72">
        <v>214.991515855204</v>
      </c>
      <c r="C72">
        <v>0.54573349545337402</v>
      </c>
      <c r="D72">
        <v>0</v>
      </c>
      <c r="E72">
        <f t="shared" si="2"/>
        <v>117.32807144047996</v>
      </c>
      <c r="F72">
        <f t="shared" si="3"/>
        <v>0</v>
      </c>
    </row>
    <row r="73" spans="1:6" x14ac:dyDescent="0.2">
      <c r="A73">
        <v>12</v>
      </c>
      <c r="B73">
        <v>202.890214787498</v>
      </c>
      <c r="C73">
        <v>0.578085312220041</v>
      </c>
      <c r="D73">
        <v>0</v>
      </c>
      <c r="E73">
        <f t="shared" si="2"/>
        <v>117.28785316182196</v>
      </c>
      <c r="F73">
        <f t="shared" si="3"/>
        <v>0</v>
      </c>
    </row>
    <row r="74" spans="1:6" x14ac:dyDescent="0.2">
      <c r="A74">
        <v>12</v>
      </c>
      <c r="B74">
        <v>226.518700355433</v>
      </c>
      <c r="C74">
        <v>0.13055756830029</v>
      </c>
      <c r="D74">
        <v>0</v>
      </c>
      <c r="E74">
        <f t="shared" si="2"/>
        <v>29.573730692947368</v>
      </c>
      <c r="F74">
        <f t="shared" si="3"/>
        <v>0</v>
      </c>
    </row>
    <row r="75" spans="1:6" x14ac:dyDescent="0.2">
      <c r="A75">
        <v>12</v>
      </c>
      <c r="B75">
        <v>206.219915128905</v>
      </c>
      <c r="C75">
        <v>0.31094032834301399</v>
      </c>
      <c r="D75">
        <v>0</v>
      </c>
      <c r="E75">
        <f t="shared" si="2"/>
        <v>64.122088121050197</v>
      </c>
      <c r="F75">
        <f t="shared" si="3"/>
        <v>0</v>
      </c>
    </row>
    <row r="76" spans="1:6" x14ac:dyDescent="0.2">
      <c r="A76">
        <v>12</v>
      </c>
      <c r="B76">
        <v>206.63681742587701</v>
      </c>
      <c r="C76">
        <v>0.212639367055692</v>
      </c>
      <c r="D76">
        <v>0</v>
      </c>
      <c r="E76">
        <f t="shared" si="2"/>
        <v>43.939122067841076</v>
      </c>
      <c r="F76">
        <f t="shared" si="3"/>
        <v>0</v>
      </c>
    </row>
    <row r="77" spans="1:6" x14ac:dyDescent="0.2">
      <c r="A77">
        <v>12</v>
      </c>
      <c r="B77">
        <v>177.37456723605601</v>
      </c>
      <c r="C77">
        <v>0.252518777540433</v>
      </c>
      <c r="D77">
        <v>0</v>
      </c>
      <c r="E77">
        <f t="shared" si="2"/>
        <v>44.790408885212202</v>
      </c>
      <c r="F77">
        <f t="shared" si="3"/>
        <v>0</v>
      </c>
    </row>
    <row r="78" spans="1:6" x14ac:dyDescent="0.2">
      <c r="A78">
        <v>12</v>
      </c>
      <c r="B78">
        <v>228.43734493896699</v>
      </c>
      <c r="C78">
        <v>0</v>
      </c>
      <c r="D78">
        <v>0</v>
      </c>
      <c r="E78">
        <f t="shared" si="2"/>
        <v>0</v>
      </c>
      <c r="F78">
        <f t="shared" si="3"/>
        <v>0</v>
      </c>
    </row>
    <row r="79" spans="1:6" x14ac:dyDescent="0.2">
      <c r="A79">
        <v>12</v>
      </c>
      <c r="B79">
        <v>212.62242904097101</v>
      </c>
      <c r="C79">
        <v>0</v>
      </c>
      <c r="D79">
        <v>0</v>
      </c>
      <c r="E79">
        <f t="shared" si="2"/>
        <v>0</v>
      </c>
      <c r="F79">
        <f t="shared" si="3"/>
        <v>0</v>
      </c>
    </row>
    <row r="80" spans="1:6" x14ac:dyDescent="0.2">
      <c r="A80">
        <v>12</v>
      </c>
      <c r="B80">
        <v>215.13214566584401</v>
      </c>
      <c r="C80">
        <v>0.13828014076772199</v>
      </c>
      <c r="D80">
        <v>0</v>
      </c>
      <c r="E80">
        <f t="shared" si="2"/>
        <v>29.748503386334981</v>
      </c>
      <c r="F80">
        <f t="shared" si="3"/>
        <v>0</v>
      </c>
    </row>
    <row r="81" spans="1:6" x14ac:dyDescent="0.2">
      <c r="A81">
        <v>12</v>
      </c>
      <c r="B81">
        <v>178.093962873744</v>
      </c>
      <c r="C81">
        <v>0.146822233749414</v>
      </c>
      <c r="D81">
        <v>0</v>
      </c>
      <c r="E81">
        <f t="shared" si="2"/>
        <v>26.148153446408301</v>
      </c>
      <c r="F81">
        <f t="shared" si="3"/>
        <v>0</v>
      </c>
    </row>
    <row r="82" spans="1:6" x14ac:dyDescent="0.2">
      <c r="A82">
        <v>12</v>
      </c>
      <c r="B82">
        <v>191.91256990575201</v>
      </c>
      <c r="C82">
        <v>0</v>
      </c>
      <c r="D82">
        <v>0</v>
      </c>
      <c r="E82">
        <f t="shared" si="2"/>
        <v>0</v>
      </c>
      <c r="F82">
        <f t="shared" si="3"/>
        <v>0</v>
      </c>
    </row>
    <row r="83" spans="1:6" x14ac:dyDescent="0.2">
      <c r="A83">
        <v>12</v>
      </c>
      <c r="B83">
        <v>215.04526330617099</v>
      </c>
      <c r="C83">
        <v>8.0979508679114798E-2</v>
      </c>
      <c r="D83">
        <v>0</v>
      </c>
      <c r="E83">
        <f t="shared" si="2"/>
        <v>17.4142597663046</v>
      </c>
      <c r="F83">
        <f t="shared" si="3"/>
        <v>0</v>
      </c>
    </row>
    <row r="84" spans="1:6" x14ac:dyDescent="0.2">
      <c r="A84">
        <v>12</v>
      </c>
      <c r="B84">
        <v>204.875326369845</v>
      </c>
      <c r="C84">
        <v>0.131984406612632</v>
      </c>
      <c r="D84">
        <v>0</v>
      </c>
      <c r="E84">
        <f t="shared" si="2"/>
        <v>27.04034838049331</v>
      </c>
      <c r="F84">
        <f t="shared" si="3"/>
        <v>0</v>
      </c>
    </row>
    <row r="85" spans="1:6" x14ac:dyDescent="0.2">
      <c r="A85">
        <v>12</v>
      </c>
      <c r="B85">
        <v>205.47812950791001</v>
      </c>
      <c r="C85">
        <v>9.7875004198985094E-2</v>
      </c>
      <c r="D85">
        <v>0</v>
      </c>
      <c r="E85">
        <f t="shared" si="2"/>
        <v>20.111172788386295</v>
      </c>
      <c r="F85">
        <f t="shared" si="3"/>
        <v>0</v>
      </c>
    </row>
    <row r="86" spans="1:6" x14ac:dyDescent="0.2">
      <c r="A86">
        <v>12</v>
      </c>
      <c r="B86">
        <v>221.97811882849101</v>
      </c>
      <c r="C86">
        <v>0.176570236874838</v>
      </c>
      <c r="D86">
        <v>0</v>
      </c>
      <c r="E86">
        <f t="shared" si="2"/>
        <v>39.194729022577597</v>
      </c>
      <c r="F86">
        <f t="shared" si="3"/>
        <v>0</v>
      </c>
    </row>
    <row r="87" spans="1:6" x14ac:dyDescent="0.2">
      <c r="A87">
        <v>12</v>
      </c>
      <c r="B87">
        <v>228.331834629187</v>
      </c>
      <c r="C87">
        <v>6.3109917415733893E-2</v>
      </c>
      <c r="D87">
        <v>0</v>
      </c>
      <c r="E87">
        <f t="shared" si="2"/>
        <v>14.410003226831</v>
      </c>
      <c r="F87">
        <f t="shared" si="3"/>
        <v>0</v>
      </c>
    </row>
    <row r="88" spans="1:6" x14ac:dyDescent="0.2">
      <c r="A88">
        <v>12</v>
      </c>
      <c r="B88">
        <v>217.22500860761301</v>
      </c>
      <c r="C88">
        <v>0</v>
      </c>
      <c r="D88">
        <v>0</v>
      </c>
      <c r="E88">
        <f t="shared" si="2"/>
        <v>0</v>
      </c>
      <c r="F88">
        <f t="shared" si="3"/>
        <v>0</v>
      </c>
    </row>
    <row r="89" spans="1:6" x14ac:dyDescent="0.2">
      <c r="A89">
        <v>12</v>
      </c>
      <c r="B89">
        <v>205.878619616826</v>
      </c>
      <c r="C89">
        <v>0</v>
      </c>
      <c r="D89">
        <v>0</v>
      </c>
      <c r="E89">
        <f t="shared" si="2"/>
        <v>0</v>
      </c>
      <c r="F89">
        <f t="shared" si="3"/>
        <v>0</v>
      </c>
    </row>
    <row r="90" spans="1:6" x14ac:dyDescent="0.2">
      <c r="A90">
        <v>12</v>
      </c>
      <c r="B90">
        <v>219.502991512384</v>
      </c>
      <c r="C90">
        <v>0</v>
      </c>
      <c r="D90">
        <v>0</v>
      </c>
      <c r="E90">
        <f t="shared" si="2"/>
        <v>0</v>
      </c>
      <c r="F90">
        <f t="shared" si="3"/>
        <v>0</v>
      </c>
    </row>
    <row r="91" spans="1:6" x14ac:dyDescent="0.2">
      <c r="A91">
        <v>12</v>
      </c>
      <c r="B91">
        <v>201.056776871441</v>
      </c>
      <c r="C91">
        <v>6.8066414614212895E-2</v>
      </c>
      <c r="D91">
        <v>0</v>
      </c>
      <c r="E91">
        <f t="shared" si="2"/>
        <v>13.685213935528793</v>
      </c>
      <c r="F91">
        <f t="shared" si="3"/>
        <v>0</v>
      </c>
    </row>
    <row r="92" spans="1:6" x14ac:dyDescent="0.2">
      <c r="A92">
        <v>12</v>
      </c>
      <c r="B92">
        <v>219.482827004417</v>
      </c>
      <c r="C92">
        <v>0</v>
      </c>
      <c r="D92">
        <v>0</v>
      </c>
      <c r="E92">
        <f t="shared" si="2"/>
        <v>0</v>
      </c>
      <c r="F92">
        <f t="shared" si="3"/>
        <v>0</v>
      </c>
    </row>
    <row r="93" spans="1:6" x14ac:dyDescent="0.2">
      <c r="A93">
        <v>12</v>
      </c>
      <c r="B93">
        <v>235.04655106359101</v>
      </c>
      <c r="C93">
        <v>0.19570254383736399</v>
      </c>
      <c r="D93">
        <v>0</v>
      </c>
      <c r="E93">
        <f t="shared" si="2"/>
        <v>45.999207963343636</v>
      </c>
      <c r="F93">
        <f t="shared" si="3"/>
        <v>0</v>
      </c>
    </row>
    <row r="94" spans="1:6" x14ac:dyDescent="0.2">
      <c r="A94">
        <v>12</v>
      </c>
      <c r="B94">
        <v>219.44697441525901</v>
      </c>
      <c r="C94">
        <v>0</v>
      </c>
      <c r="D94">
        <v>0</v>
      </c>
      <c r="E94">
        <f t="shared" si="2"/>
        <v>0</v>
      </c>
      <c r="F94">
        <f t="shared" si="3"/>
        <v>0</v>
      </c>
    </row>
    <row r="95" spans="1:6" x14ac:dyDescent="0.2">
      <c r="A95">
        <v>12</v>
      </c>
      <c r="B95">
        <v>232.201670729315</v>
      </c>
      <c r="C95">
        <v>0.24236589925787699</v>
      </c>
      <c r="D95">
        <v>0</v>
      </c>
      <c r="E95">
        <f t="shared" si="2"/>
        <v>56.27776673549188</v>
      </c>
      <c r="F95">
        <f t="shared" si="3"/>
        <v>0</v>
      </c>
    </row>
    <row r="96" spans="1:6" x14ac:dyDescent="0.2">
      <c r="A96">
        <v>12</v>
      </c>
      <c r="B96">
        <v>209.285327256069</v>
      </c>
      <c r="C96">
        <v>6.2372176531559298E-2</v>
      </c>
      <c r="D96">
        <v>0</v>
      </c>
      <c r="E96">
        <f t="shared" si="2"/>
        <v>13.053581377080695</v>
      </c>
      <c r="F96">
        <f t="shared" si="3"/>
        <v>0</v>
      </c>
    </row>
    <row r="97" spans="1:6" x14ac:dyDescent="0.2">
      <c r="A97">
        <v>14</v>
      </c>
      <c r="B97">
        <v>227.25672650961801</v>
      </c>
      <c r="C97">
        <v>0.233991634152692</v>
      </c>
      <c r="D97">
        <v>0</v>
      </c>
      <c r="E97">
        <f t="shared" si="2"/>
        <v>53.176172808176915</v>
      </c>
      <c r="F97">
        <f t="shared" si="3"/>
        <v>0</v>
      </c>
    </row>
    <row r="98" spans="1:6" x14ac:dyDescent="0.2">
      <c r="A98">
        <v>14</v>
      </c>
      <c r="B98">
        <v>222.269255219331</v>
      </c>
      <c r="C98">
        <v>0.32372747589202699</v>
      </c>
      <c r="D98">
        <v>0</v>
      </c>
      <c r="E98">
        <f t="shared" si="2"/>
        <v>71.954664960554766</v>
      </c>
      <c r="F98">
        <f t="shared" si="3"/>
        <v>0</v>
      </c>
    </row>
    <row r="99" spans="1:6" x14ac:dyDescent="0.2">
      <c r="A99">
        <v>14</v>
      </c>
      <c r="B99">
        <v>235.76101166692999</v>
      </c>
      <c r="C99">
        <v>0.43309076972142202</v>
      </c>
      <c r="D99">
        <v>0</v>
      </c>
      <c r="E99">
        <f t="shared" si="2"/>
        <v>102.10591801313187</v>
      </c>
      <c r="F99">
        <f t="shared" si="3"/>
        <v>0</v>
      </c>
    </row>
    <row r="100" spans="1:6" x14ac:dyDescent="0.2">
      <c r="A100">
        <v>14</v>
      </c>
      <c r="B100">
        <v>206.48563875144899</v>
      </c>
      <c r="C100">
        <v>0.16895378715398501</v>
      </c>
      <c r="D100">
        <v>0</v>
      </c>
      <c r="E100">
        <f t="shared" si="2"/>
        <v>34.886530659966951</v>
      </c>
      <c r="F100">
        <f t="shared" si="3"/>
        <v>0</v>
      </c>
    </row>
    <row r="101" spans="1:6" x14ac:dyDescent="0.2">
      <c r="A101">
        <v>14</v>
      </c>
      <c r="B101">
        <v>217.26915002553801</v>
      </c>
      <c r="C101">
        <v>0</v>
      </c>
      <c r="D101">
        <v>0</v>
      </c>
      <c r="E101">
        <f t="shared" si="2"/>
        <v>0</v>
      </c>
      <c r="F101">
        <f t="shared" si="3"/>
        <v>0</v>
      </c>
    </row>
    <row r="102" spans="1:6" x14ac:dyDescent="0.2">
      <c r="A102">
        <v>14</v>
      </c>
      <c r="B102">
        <v>246.30416055439599</v>
      </c>
      <c r="C102">
        <v>0.17304806348295301</v>
      </c>
      <c r="D102">
        <v>0</v>
      </c>
      <c r="E102">
        <f t="shared" si="2"/>
        <v>42.622458011732569</v>
      </c>
      <c r="F102">
        <f t="shared" si="3"/>
        <v>0</v>
      </c>
    </row>
    <row r="103" spans="1:6" x14ac:dyDescent="0.2">
      <c r="A103">
        <v>14</v>
      </c>
      <c r="B103">
        <v>248.61834462948801</v>
      </c>
      <c r="C103">
        <v>0.56040369004200896</v>
      </c>
      <c r="D103">
        <v>0</v>
      </c>
      <c r="E103">
        <f t="shared" si="2"/>
        <v>139.32663774250096</v>
      </c>
      <c r="F103">
        <f t="shared" si="3"/>
        <v>0</v>
      </c>
    </row>
    <row r="104" spans="1:6" x14ac:dyDescent="0.2">
      <c r="A104">
        <v>14</v>
      </c>
      <c r="B104">
        <v>242.15722612301201</v>
      </c>
      <c r="C104">
        <v>0.429102056899129</v>
      </c>
      <c r="D104">
        <v>0</v>
      </c>
      <c r="E104">
        <f t="shared" si="2"/>
        <v>103.91016382237194</v>
      </c>
      <c r="F104">
        <f t="shared" si="3"/>
        <v>0</v>
      </c>
    </row>
    <row r="105" spans="1:6" x14ac:dyDescent="0.2">
      <c r="A105">
        <v>14</v>
      </c>
      <c r="B105">
        <v>259.03404400285399</v>
      </c>
      <c r="C105">
        <v>0.45518806929439998</v>
      </c>
      <c r="D105">
        <v>0</v>
      </c>
      <c r="E105">
        <f t="shared" si="2"/>
        <v>117.90920637117975</v>
      </c>
      <c r="F105">
        <f t="shared" si="3"/>
        <v>0</v>
      </c>
    </row>
    <row r="106" spans="1:6" x14ac:dyDescent="0.2">
      <c r="A106">
        <v>14</v>
      </c>
      <c r="B106">
        <v>230.97642439681701</v>
      </c>
      <c r="C106">
        <v>0.37795560457937899</v>
      </c>
      <c r="D106">
        <v>0</v>
      </c>
      <c r="E106">
        <f t="shared" si="2"/>
        <v>87.298834126482191</v>
      </c>
      <c r="F106">
        <f t="shared" si="3"/>
        <v>0</v>
      </c>
    </row>
    <row r="107" spans="1:6" x14ac:dyDescent="0.2">
      <c r="A107">
        <v>14</v>
      </c>
      <c r="B107">
        <v>249.32645925679401</v>
      </c>
      <c r="C107">
        <v>0.393222655695734</v>
      </c>
      <c r="D107">
        <v>0</v>
      </c>
      <c r="E107">
        <f t="shared" si="2"/>
        <v>98.040812444170768</v>
      </c>
      <c r="F107">
        <f t="shared" si="3"/>
        <v>0</v>
      </c>
    </row>
    <row r="108" spans="1:6" x14ac:dyDescent="0.2">
      <c r="A108">
        <v>14</v>
      </c>
      <c r="B108">
        <v>244.26818539391701</v>
      </c>
      <c r="C108">
        <v>0.31824345489197298</v>
      </c>
      <c r="D108">
        <v>0</v>
      </c>
      <c r="E108">
        <f t="shared" si="2"/>
        <v>77.736751239953122</v>
      </c>
      <c r="F108">
        <f t="shared" si="3"/>
        <v>0</v>
      </c>
    </row>
    <row r="109" spans="1:6" x14ac:dyDescent="0.2">
      <c r="A109">
        <v>14</v>
      </c>
      <c r="B109">
        <v>240.09530403433601</v>
      </c>
      <c r="C109">
        <v>0</v>
      </c>
      <c r="D109">
        <v>0</v>
      </c>
      <c r="E109">
        <f t="shared" si="2"/>
        <v>0</v>
      </c>
      <c r="F109">
        <f t="shared" si="3"/>
        <v>0</v>
      </c>
    </row>
    <row r="110" spans="1:6" x14ac:dyDescent="0.2">
      <c r="A110">
        <v>14</v>
      </c>
      <c r="B110">
        <v>236.58766498671099</v>
      </c>
      <c r="C110">
        <v>0.23812692034542399</v>
      </c>
      <c r="D110">
        <v>0</v>
      </c>
      <c r="E110">
        <f t="shared" si="2"/>
        <v>56.337892055000381</v>
      </c>
      <c r="F110">
        <f t="shared" si="3"/>
        <v>0</v>
      </c>
    </row>
    <row r="111" spans="1:6" x14ac:dyDescent="0.2">
      <c r="A111">
        <v>14</v>
      </c>
      <c r="B111">
        <v>232.72419786925201</v>
      </c>
      <c r="C111">
        <v>0.53202838361285698</v>
      </c>
      <c r="D111">
        <v>0</v>
      </c>
      <c r="E111">
        <f t="shared" si="2"/>
        <v>123.81587881997685</v>
      </c>
      <c r="F111">
        <f t="shared" si="3"/>
        <v>0</v>
      </c>
    </row>
    <row r="112" spans="1:6" x14ac:dyDescent="0.2">
      <c r="A112">
        <v>14</v>
      </c>
      <c r="B112">
        <v>229.65793621413201</v>
      </c>
      <c r="C112">
        <v>0.44835185803446598</v>
      </c>
      <c r="D112">
        <v>0</v>
      </c>
      <c r="E112">
        <f t="shared" si="2"/>
        <v>102.96756241396696</v>
      </c>
      <c r="F112">
        <f t="shared" si="3"/>
        <v>0</v>
      </c>
    </row>
    <row r="113" spans="1:6" x14ac:dyDescent="0.2">
      <c r="A113">
        <v>14</v>
      </c>
      <c r="B113">
        <v>240.747807607922</v>
      </c>
      <c r="C113">
        <v>0.47773577225883901</v>
      </c>
      <c r="D113">
        <v>0</v>
      </c>
      <c r="E113">
        <f t="shared" si="2"/>
        <v>115.01383978719301</v>
      </c>
      <c r="F113">
        <f t="shared" si="3"/>
        <v>0</v>
      </c>
    </row>
    <row r="114" spans="1:6" x14ac:dyDescent="0.2">
      <c r="A114">
        <v>14</v>
      </c>
      <c r="B114">
        <v>216.99170239604501</v>
      </c>
      <c r="C114">
        <v>0</v>
      </c>
      <c r="D114">
        <v>0</v>
      </c>
      <c r="E114">
        <f t="shared" si="2"/>
        <v>0</v>
      </c>
      <c r="F114">
        <f t="shared" si="3"/>
        <v>0</v>
      </c>
    </row>
    <row r="115" spans="1:6" x14ac:dyDescent="0.2">
      <c r="A115">
        <v>14</v>
      </c>
      <c r="B115">
        <v>236.61364621530501</v>
      </c>
      <c r="C115">
        <v>0.58255220656151196</v>
      </c>
      <c r="D115">
        <v>0</v>
      </c>
      <c r="E115">
        <f t="shared" si="2"/>
        <v>137.83980170529088</v>
      </c>
      <c r="F115">
        <f t="shared" si="3"/>
        <v>0</v>
      </c>
    </row>
    <row r="116" spans="1:6" x14ac:dyDescent="0.2">
      <c r="A116">
        <v>16</v>
      </c>
      <c r="B116">
        <v>271.34555807653499</v>
      </c>
      <c r="C116">
        <v>0.646281187221597</v>
      </c>
      <c r="D116">
        <v>0</v>
      </c>
      <c r="E116">
        <f t="shared" si="2"/>
        <v>175.36552942100982</v>
      </c>
      <c r="F116">
        <f t="shared" si="3"/>
        <v>0</v>
      </c>
    </row>
    <row r="117" spans="1:6" x14ac:dyDescent="0.2">
      <c r="A117">
        <v>16</v>
      </c>
      <c r="B117">
        <v>279.09066840772999</v>
      </c>
      <c r="C117">
        <v>0.65623895935850296</v>
      </c>
      <c r="D117">
        <v>0.12391368627119501</v>
      </c>
      <c r="E117">
        <f t="shared" si="2"/>
        <v>183.15016980255774</v>
      </c>
      <c r="F117">
        <f t="shared" si="3"/>
        <v>34.583153526293572</v>
      </c>
    </row>
    <row r="118" spans="1:6" x14ac:dyDescent="0.2">
      <c r="A118">
        <v>16</v>
      </c>
      <c r="B118">
        <v>262.74184115715298</v>
      </c>
      <c r="C118">
        <v>0.67873824828914198</v>
      </c>
      <c r="D118">
        <v>0</v>
      </c>
      <c r="E118">
        <f t="shared" si="2"/>
        <v>178.33293701926999</v>
      </c>
      <c r="F118">
        <f t="shared" si="3"/>
        <v>0</v>
      </c>
    </row>
    <row r="119" spans="1:6" x14ac:dyDescent="0.2">
      <c r="A119">
        <v>16</v>
      </c>
      <c r="B119">
        <v>269.63565210431898</v>
      </c>
      <c r="C119">
        <v>0.64551370785811901</v>
      </c>
      <c r="D119">
        <v>0.20809580567351499</v>
      </c>
      <c r="E119">
        <f t="shared" si="2"/>
        <v>174.05350956060079</v>
      </c>
      <c r="F119">
        <f t="shared" si="3"/>
        <v>56.110048262951857</v>
      </c>
    </row>
    <row r="120" spans="1:6" x14ac:dyDescent="0.2">
      <c r="A120">
        <v>16</v>
      </c>
      <c r="B120">
        <v>272.42538448630802</v>
      </c>
      <c r="C120">
        <v>0.71029105368572998</v>
      </c>
      <c r="D120">
        <v>0.20023906620434401</v>
      </c>
      <c r="E120">
        <f t="shared" si="2"/>
        <v>193.50131339751985</v>
      </c>
      <c r="F120">
        <f t="shared" si="3"/>
        <v>54.550204599897704</v>
      </c>
    </row>
    <row r="121" spans="1:6" x14ac:dyDescent="0.2">
      <c r="A121">
        <v>16</v>
      </c>
      <c r="B121">
        <v>267.82120328628298</v>
      </c>
      <c r="C121">
        <v>0.67800189618040596</v>
      </c>
      <c r="D121">
        <v>0.15585596432200899</v>
      </c>
      <c r="E121">
        <f t="shared" si="2"/>
        <v>181.58328366541784</v>
      </c>
      <c r="F121">
        <f t="shared" si="3"/>
        <v>41.741531904064438</v>
      </c>
    </row>
    <row r="122" spans="1:6" x14ac:dyDescent="0.2">
      <c r="A122">
        <v>16</v>
      </c>
      <c r="B122">
        <v>254.593377513673</v>
      </c>
      <c r="C122">
        <v>0.15073485878696799</v>
      </c>
      <c r="D122">
        <v>0</v>
      </c>
      <c r="E122">
        <f t="shared" si="2"/>
        <v>38.376096807620733</v>
      </c>
      <c r="F122">
        <f t="shared" si="3"/>
        <v>0</v>
      </c>
    </row>
    <row r="123" spans="1:6" x14ac:dyDescent="0.2">
      <c r="A123">
        <v>16</v>
      </c>
      <c r="B123">
        <v>254.716970288944</v>
      </c>
      <c r="C123">
        <v>0.13984029462301201</v>
      </c>
      <c r="D123">
        <v>0</v>
      </c>
      <c r="E123">
        <f t="shared" si="2"/>
        <v>35.619696170686922</v>
      </c>
      <c r="F123">
        <f t="shared" si="3"/>
        <v>0</v>
      </c>
    </row>
    <row r="124" spans="1:6" x14ac:dyDescent="0.2">
      <c r="A124">
        <v>16</v>
      </c>
      <c r="B124">
        <v>276.13591388386402</v>
      </c>
      <c r="C124">
        <v>0.68802608790364495</v>
      </c>
      <c r="D124">
        <v>9.4613835030670695E-2</v>
      </c>
      <c r="E124">
        <f t="shared" si="2"/>
        <v>189.98871255921276</v>
      </c>
      <c r="F124">
        <f t="shared" si="3"/>
        <v>26.126277802251401</v>
      </c>
    </row>
    <row r="125" spans="1:6" x14ac:dyDescent="0.2">
      <c r="A125">
        <v>16</v>
      </c>
      <c r="B125">
        <v>262.11031910228201</v>
      </c>
      <c r="C125">
        <v>0.22758916537759999</v>
      </c>
      <c r="D125">
        <v>0</v>
      </c>
      <c r="E125">
        <f t="shared" si="2"/>
        <v>59.653468761344762</v>
      </c>
      <c r="F125">
        <f t="shared" si="3"/>
        <v>0</v>
      </c>
    </row>
    <row r="126" spans="1:6" x14ac:dyDescent="0.2">
      <c r="A126">
        <v>16</v>
      </c>
      <c r="B126">
        <v>282.95280857776999</v>
      </c>
      <c r="C126">
        <v>0.62467657118366005</v>
      </c>
      <c r="D126">
        <v>0</v>
      </c>
      <c r="E126">
        <f t="shared" si="2"/>
        <v>176.75399026914786</v>
      </c>
      <c r="F126">
        <f t="shared" si="3"/>
        <v>0</v>
      </c>
    </row>
    <row r="127" spans="1:6" x14ac:dyDescent="0.2">
      <c r="A127">
        <v>16</v>
      </c>
      <c r="B127">
        <v>285.56427956174701</v>
      </c>
      <c r="C127">
        <v>0.57065318212083604</v>
      </c>
      <c r="D127">
        <v>9.1555897794239297E-2</v>
      </c>
      <c r="E127">
        <f t="shared" si="2"/>
        <v>162.95816483195495</v>
      </c>
      <c r="F127">
        <f t="shared" si="3"/>
        <v>26.145093993240888</v>
      </c>
    </row>
    <row r="128" spans="1:6" x14ac:dyDescent="0.2">
      <c r="A128">
        <v>16</v>
      </c>
      <c r="B128">
        <v>246.477804664861</v>
      </c>
      <c r="C128">
        <v>0.61210743247235599</v>
      </c>
      <c r="D128">
        <v>0</v>
      </c>
      <c r="E128">
        <f t="shared" si="2"/>
        <v>150.87089617483096</v>
      </c>
      <c r="F128">
        <f t="shared" si="3"/>
        <v>0</v>
      </c>
    </row>
    <row r="129" spans="1:6" x14ac:dyDescent="0.2">
      <c r="A129">
        <v>16</v>
      </c>
      <c r="B129">
        <v>219.94167116175001</v>
      </c>
      <c r="C129">
        <v>0.27757446819683601</v>
      </c>
      <c r="D129">
        <v>0</v>
      </c>
      <c r="E129">
        <f t="shared" si="2"/>
        <v>61.05019240704614</v>
      </c>
      <c r="F129">
        <f t="shared" si="3"/>
        <v>0</v>
      </c>
    </row>
    <row r="130" spans="1:6" x14ac:dyDescent="0.2">
      <c r="A130">
        <v>16</v>
      </c>
      <c r="B130">
        <v>250.51201772531499</v>
      </c>
      <c r="C130">
        <v>0.618368939883429</v>
      </c>
      <c r="D130">
        <v>0</v>
      </c>
      <c r="E130">
        <f t="shared" si="2"/>
        <v>154.9088508288618</v>
      </c>
      <c r="F130">
        <f t="shared" si="3"/>
        <v>0</v>
      </c>
    </row>
    <row r="131" spans="1:6" x14ac:dyDescent="0.2">
      <c r="A131">
        <v>16</v>
      </c>
      <c r="B131">
        <v>260.43136228444598</v>
      </c>
      <c r="C131">
        <v>0.59436781295159602</v>
      </c>
      <c r="D131">
        <v>0</v>
      </c>
      <c r="E131">
        <f t="shared" si="2"/>
        <v>154.79201922501093</v>
      </c>
      <c r="F131">
        <f t="shared" si="3"/>
        <v>0</v>
      </c>
    </row>
    <row r="132" spans="1:6" x14ac:dyDescent="0.2">
      <c r="A132">
        <v>16</v>
      </c>
      <c r="B132">
        <v>221.134657968715</v>
      </c>
      <c r="C132">
        <v>0.107447869392921</v>
      </c>
      <c r="D132">
        <v>0</v>
      </c>
      <c r="E132">
        <f t="shared" si="2"/>
        <v>23.760447847670747</v>
      </c>
      <c r="F132">
        <f t="shared" si="3"/>
        <v>0</v>
      </c>
    </row>
    <row r="133" spans="1:6" x14ac:dyDescent="0.2">
      <c r="A133">
        <v>16</v>
      </c>
      <c r="B133">
        <v>269.889047709804</v>
      </c>
      <c r="C133">
        <v>0.63881418311529004</v>
      </c>
      <c r="D133">
        <v>0</v>
      </c>
      <c r="E133">
        <f t="shared" si="2"/>
        <v>172.40895154450197</v>
      </c>
      <c r="F133">
        <f t="shared" si="3"/>
        <v>0</v>
      </c>
    </row>
    <row r="134" spans="1:6" x14ac:dyDescent="0.2">
      <c r="A134">
        <v>18</v>
      </c>
      <c r="B134">
        <v>198.214058535812</v>
      </c>
      <c r="C134">
        <v>0.79713864575950699</v>
      </c>
      <c r="D134">
        <v>0.25495146663229001</v>
      </c>
      <c r="E134">
        <f t="shared" ref="E134:E191" si="4">C134*B134</f>
        <v>158.00408619173282</v>
      </c>
      <c r="F134">
        <f t="shared" ref="F134:F191" si="5">D134*B134</f>
        <v>50.534964930843856</v>
      </c>
    </row>
    <row r="135" spans="1:6" x14ac:dyDescent="0.2">
      <c r="A135">
        <v>18</v>
      </c>
      <c r="B135">
        <v>277.62342207165699</v>
      </c>
      <c r="C135">
        <v>0.76618252569312995</v>
      </c>
      <c r="D135">
        <v>0.337742855339695</v>
      </c>
      <c r="E135">
        <f t="shared" si="4"/>
        <v>212.710214714432</v>
      </c>
      <c r="F135">
        <f t="shared" si="5"/>
        <v>93.765327279658734</v>
      </c>
    </row>
    <row r="136" spans="1:6" x14ac:dyDescent="0.2">
      <c r="A136">
        <v>18</v>
      </c>
      <c r="B136">
        <v>281.760631028077</v>
      </c>
      <c r="C136">
        <v>0.78359805956274897</v>
      </c>
      <c r="D136">
        <v>0.34350035267502899</v>
      </c>
      <c r="E136">
        <f t="shared" si="4"/>
        <v>220.78708373477681</v>
      </c>
      <c r="F136">
        <f t="shared" si="5"/>
        <v>96.78487612808317</v>
      </c>
    </row>
    <row r="137" spans="1:6" x14ac:dyDescent="0.2">
      <c r="A137">
        <v>18</v>
      </c>
      <c r="B137">
        <v>268.00384319474603</v>
      </c>
      <c r="C137">
        <v>0.81471264101747498</v>
      </c>
      <c r="D137">
        <v>0.297927983166412</v>
      </c>
      <c r="E137">
        <f t="shared" si="4"/>
        <v>218.34611889202478</v>
      </c>
      <c r="F137">
        <f t="shared" si="5"/>
        <v>79.845844483858016</v>
      </c>
    </row>
    <row r="138" spans="1:6" x14ac:dyDescent="0.2">
      <c r="A138">
        <v>18</v>
      </c>
      <c r="B138">
        <v>273.63217528198999</v>
      </c>
      <c r="C138">
        <v>0.76398538307408004</v>
      </c>
      <c r="D138">
        <v>0.30258474658554102</v>
      </c>
      <c r="E138">
        <f t="shared" si="4"/>
        <v>209.05098225420494</v>
      </c>
      <c r="F138">
        <f t="shared" si="5"/>
        <v>82.796922415351276</v>
      </c>
    </row>
    <row r="139" spans="1:6" x14ac:dyDescent="0.2">
      <c r="A139">
        <v>18</v>
      </c>
      <c r="B139">
        <v>292.35898072524202</v>
      </c>
      <c r="C139">
        <v>0.78160261437900003</v>
      </c>
      <c r="D139">
        <v>0.36110595381639599</v>
      </c>
      <c r="E139">
        <f t="shared" si="4"/>
        <v>228.50854367202885</v>
      </c>
      <c r="F139">
        <f t="shared" si="5"/>
        <v>105.57256859157785</v>
      </c>
    </row>
    <row r="140" spans="1:6" x14ac:dyDescent="0.2">
      <c r="A140">
        <v>18</v>
      </c>
      <c r="B140">
        <v>269.21127381479999</v>
      </c>
      <c r="C140">
        <v>0.75650364364005596</v>
      </c>
      <c r="D140">
        <v>0.34390481621508201</v>
      </c>
      <c r="E140">
        <f t="shared" si="4"/>
        <v>203.65930954987698</v>
      </c>
      <c r="F140">
        <f t="shared" si="5"/>
        <v>92.583053644306915</v>
      </c>
    </row>
    <row r="141" spans="1:6" x14ac:dyDescent="0.2">
      <c r="A141">
        <v>18</v>
      </c>
      <c r="B141">
        <v>285.47816090880002</v>
      </c>
      <c r="C141">
        <v>0.79892219347877702</v>
      </c>
      <c r="D141">
        <v>0.38290077369752101</v>
      </c>
      <c r="E141">
        <f t="shared" si="4"/>
        <v>228.07483850354578</v>
      </c>
      <c r="F141">
        <f t="shared" si="5"/>
        <v>109.30980868572493</v>
      </c>
    </row>
    <row r="142" spans="1:6" x14ac:dyDescent="0.2">
      <c r="A142">
        <v>18</v>
      </c>
      <c r="B142">
        <v>277.73765199589701</v>
      </c>
      <c r="C142">
        <v>0.75683072710364496</v>
      </c>
      <c r="D142">
        <v>0.35504576022766299</v>
      </c>
      <c r="E142">
        <f t="shared" si="4"/>
        <v>210.20038910411384</v>
      </c>
      <c r="F142">
        <f t="shared" si="5"/>
        <v>98.609575796729359</v>
      </c>
    </row>
    <row r="143" spans="1:6" x14ac:dyDescent="0.2">
      <c r="A143">
        <v>18</v>
      </c>
      <c r="B143">
        <v>275.26456307034101</v>
      </c>
      <c r="C143">
        <v>0.81542995177974598</v>
      </c>
      <c r="D143">
        <v>0.33086545438943998</v>
      </c>
      <c r="E143">
        <f t="shared" si="4"/>
        <v>224.45896939112103</v>
      </c>
      <c r="F143">
        <f t="shared" si="5"/>
        <v>91.075534737579034</v>
      </c>
    </row>
    <row r="144" spans="1:6" x14ac:dyDescent="0.2">
      <c r="A144">
        <v>18</v>
      </c>
      <c r="B144">
        <v>270.949269467075</v>
      </c>
      <c r="C144">
        <v>0.79082345669393606</v>
      </c>
      <c r="D144">
        <v>0.34369264722849002</v>
      </c>
      <c r="E144">
        <f t="shared" si="4"/>
        <v>214.273037868649</v>
      </c>
      <c r="F144">
        <f t="shared" si="5"/>
        <v>93.123271687764486</v>
      </c>
    </row>
    <row r="145" spans="1:6" x14ac:dyDescent="0.2">
      <c r="A145">
        <v>18</v>
      </c>
      <c r="B145">
        <v>284.30522227306602</v>
      </c>
      <c r="C145">
        <v>0.77824106531269999</v>
      </c>
      <c r="D145">
        <v>0.42124659746325999</v>
      </c>
      <c r="E145">
        <f t="shared" si="4"/>
        <v>221.25799905575485</v>
      </c>
      <c r="F145">
        <f t="shared" si="5"/>
        <v>119.7626075235649</v>
      </c>
    </row>
    <row r="146" spans="1:6" x14ac:dyDescent="0.2">
      <c r="A146">
        <v>18</v>
      </c>
      <c r="B146">
        <v>299.90009269897598</v>
      </c>
      <c r="C146">
        <v>0.73083104705826996</v>
      </c>
      <c r="D146">
        <v>0.35670105924269102</v>
      </c>
      <c r="E146">
        <f t="shared" si="4"/>
        <v>219.17629876006484</v>
      </c>
      <c r="F146">
        <f t="shared" si="5"/>
        <v>106.97468073270596</v>
      </c>
    </row>
    <row r="147" spans="1:6" x14ac:dyDescent="0.2">
      <c r="A147">
        <v>18</v>
      </c>
      <c r="B147">
        <v>269.98742502552602</v>
      </c>
      <c r="C147">
        <v>0.64639497253771705</v>
      </c>
      <c r="D147">
        <v>0.10146506485519199</v>
      </c>
      <c r="E147">
        <f t="shared" si="4"/>
        <v>174.51851418490384</v>
      </c>
      <c r="F147">
        <f t="shared" si="5"/>
        <v>27.394291590301282</v>
      </c>
    </row>
    <row r="148" spans="1:6" x14ac:dyDescent="0.2">
      <c r="A148">
        <v>18</v>
      </c>
      <c r="B148">
        <v>293.08725956368102</v>
      </c>
      <c r="C148">
        <v>0.77501685716031998</v>
      </c>
      <c r="D148">
        <v>0.241068397584875</v>
      </c>
      <c r="E148">
        <f t="shared" si="4"/>
        <v>227.14756678077501</v>
      </c>
      <c r="F148">
        <f t="shared" si="5"/>
        <v>70.654076015558914</v>
      </c>
    </row>
    <row r="149" spans="1:6" x14ac:dyDescent="0.2">
      <c r="A149">
        <v>18</v>
      </c>
      <c r="B149">
        <v>268.62883291702701</v>
      </c>
      <c r="C149">
        <v>0.40985738346686701</v>
      </c>
      <c r="D149">
        <v>0</v>
      </c>
      <c r="E149">
        <f t="shared" si="4"/>
        <v>110.09951058313089</v>
      </c>
      <c r="F149">
        <f t="shared" si="5"/>
        <v>0</v>
      </c>
    </row>
    <row r="150" spans="1:6" x14ac:dyDescent="0.2">
      <c r="A150">
        <v>18</v>
      </c>
      <c r="B150">
        <v>287.67211651614798</v>
      </c>
      <c r="C150">
        <v>0.69498637625443305</v>
      </c>
      <c r="D150">
        <v>0.28903258575827401</v>
      </c>
      <c r="E150">
        <f t="shared" si="4"/>
        <v>199.92820180700073</v>
      </c>
      <c r="F150">
        <f t="shared" si="5"/>
        <v>83.146615687217732</v>
      </c>
    </row>
    <row r="151" spans="1:6" x14ac:dyDescent="0.2">
      <c r="A151">
        <v>18</v>
      </c>
      <c r="B151">
        <v>275.119814417268</v>
      </c>
      <c r="C151">
        <v>0.71517840100514496</v>
      </c>
      <c r="D151">
        <v>0.25653358068719401</v>
      </c>
      <c r="E151">
        <f t="shared" si="4"/>
        <v>196.75974895977396</v>
      </c>
      <c r="F151">
        <f t="shared" si="5"/>
        <v>70.577471110458063</v>
      </c>
    </row>
    <row r="152" spans="1:6" x14ac:dyDescent="0.2">
      <c r="A152">
        <v>18</v>
      </c>
      <c r="B152">
        <v>296.74824617004998</v>
      </c>
      <c r="C152">
        <v>0.67759395378481502</v>
      </c>
      <c r="D152">
        <v>0.32170350471725601</v>
      </c>
      <c r="E152">
        <f t="shared" si="4"/>
        <v>201.07481740107374</v>
      </c>
      <c r="F152">
        <f t="shared" si="5"/>
        <v>95.464950811604126</v>
      </c>
    </row>
    <row r="153" spans="1:6" x14ac:dyDescent="0.2">
      <c r="A153">
        <v>18</v>
      </c>
      <c r="B153">
        <v>279.93693546151098</v>
      </c>
      <c r="C153">
        <v>0.69827805172400703</v>
      </c>
      <c r="D153">
        <v>0.28338488888697</v>
      </c>
      <c r="E153">
        <f t="shared" si="4"/>
        <v>195.47381789965297</v>
      </c>
      <c r="F153">
        <f t="shared" si="5"/>
        <v>79.329897351119186</v>
      </c>
    </row>
    <row r="154" spans="1:6" x14ac:dyDescent="0.2">
      <c r="A154">
        <v>21</v>
      </c>
      <c r="B154">
        <v>268.99654838952199</v>
      </c>
      <c r="C154">
        <v>0.71780773285625599</v>
      </c>
      <c r="D154">
        <v>0.24433307654668601</v>
      </c>
      <c r="E154">
        <f t="shared" si="4"/>
        <v>193.08780254564093</v>
      </c>
      <c r="F154">
        <f t="shared" si="5"/>
        <v>65.724754248451404</v>
      </c>
    </row>
    <row r="155" spans="1:6" x14ac:dyDescent="0.2">
      <c r="A155">
        <v>21</v>
      </c>
      <c r="B155">
        <v>312.42012000368101</v>
      </c>
      <c r="C155">
        <v>0.84585897226020901</v>
      </c>
      <c r="D155">
        <v>0.472604199612561</v>
      </c>
      <c r="E155">
        <f t="shared" si="4"/>
        <v>264.26336161972478</v>
      </c>
      <c r="F155">
        <f t="shared" si="5"/>
        <v>147.65106075719993</v>
      </c>
    </row>
    <row r="156" spans="1:6" x14ac:dyDescent="0.2">
      <c r="A156">
        <v>21</v>
      </c>
      <c r="B156">
        <v>319.72732930599898</v>
      </c>
      <c r="C156">
        <v>0.877791797295424</v>
      </c>
      <c r="D156">
        <v>0.50994223513234904</v>
      </c>
      <c r="E156">
        <f t="shared" si="4"/>
        <v>280.65402703597874</v>
      </c>
      <c r="F156">
        <f t="shared" si="5"/>
        <v>163.04246893919773</v>
      </c>
    </row>
    <row r="157" spans="1:6" x14ac:dyDescent="0.2">
      <c r="A157">
        <v>21</v>
      </c>
      <c r="B157">
        <v>323.596096407419</v>
      </c>
      <c r="C157">
        <v>0.80678298624226297</v>
      </c>
      <c r="D157">
        <v>0.459640430574208</v>
      </c>
      <c r="E157">
        <f t="shared" si="4"/>
        <v>261.0718249959167</v>
      </c>
      <c r="F157">
        <f t="shared" si="5"/>
        <v>148.73784908483898</v>
      </c>
    </row>
    <row r="158" spans="1:6" x14ac:dyDescent="0.2">
      <c r="A158">
        <v>21</v>
      </c>
      <c r="B158">
        <v>294.6627772027</v>
      </c>
      <c r="C158">
        <v>0.81785679134575995</v>
      </c>
      <c r="D158">
        <v>0.42637305443359802</v>
      </c>
      <c r="E158">
        <f t="shared" si="4"/>
        <v>240.99195349203077</v>
      </c>
      <c r="F158">
        <f t="shared" si="5"/>
        <v>125.63626834380197</v>
      </c>
    </row>
    <row r="159" spans="1:6" x14ac:dyDescent="0.2">
      <c r="A159">
        <v>21</v>
      </c>
      <c r="B159">
        <v>272.98351278804603</v>
      </c>
      <c r="C159">
        <v>0.81723114249389195</v>
      </c>
      <c r="D159">
        <v>0.21744753392932301</v>
      </c>
      <c r="E159">
        <f t="shared" si="4"/>
        <v>223.09062803777081</v>
      </c>
      <c r="F159">
        <f t="shared" si="5"/>
        <v>59.359591659124419</v>
      </c>
    </row>
    <row r="160" spans="1:6" x14ac:dyDescent="0.2">
      <c r="A160">
        <v>21</v>
      </c>
      <c r="B160">
        <v>301.295589318758</v>
      </c>
      <c r="C160">
        <v>0.82683240334960995</v>
      </c>
      <c r="D160">
        <v>0.458056856579246</v>
      </c>
      <c r="E160">
        <f t="shared" si="4"/>
        <v>249.12095623506576</v>
      </c>
      <c r="F160">
        <f t="shared" si="5"/>
        <v>138.01051054454175</v>
      </c>
    </row>
    <row r="161" spans="1:6" x14ac:dyDescent="0.2">
      <c r="A161">
        <v>21</v>
      </c>
      <c r="B161">
        <v>316.600453677075</v>
      </c>
      <c r="C161">
        <v>0.81355627311146395</v>
      </c>
      <c r="D161">
        <v>0.46785023932546399</v>
      </c>
      <c r="E161">
        <f t="shared" si="4"/>
        <v>257.57228515891984</v>
      </c>
      <c r="F161">
        <f t="shared" si="5"/>
        <v>148.12159802337001</v>
      </c>
    </row>
    <row r="162" spans="1:6" x14ac:dyDescent="0.2">
      <c r="A162">
        <v>21</v>
      </c>
      <c r="B162">
        <v>262.88311656957399</v>
      </c>
      <c r="C162">
        <v>0.74477332629439197</v>
      </c>
      <c r="D162">
        <v>0</v>
      </c>
      <c r="E162">
        <f t="shared" si="4"/>
        <v>195.78833315415801</v>
      </c>
      <c r="F162">
        <f t="shared" si="5"/>
        <v>0</v>
      </c>
    </row>
    <row r="163" spans="1:6" x14ac:dyDescent="0.2">
      <c r="A163">
        <v>21</v>
      </c>
      <c r="B163">
        <v>313.99416932227899</v>
      </c>
      <c r="C163">
        <v>0.82631427460849805</v>
      </c>
      <c r="D163">
        <v>0.46523358849630098</v>
      </c>
      <c r="E163">
        <f t="shared" si="4"/>
        <v>259.45786425483686</v>
      </c>
      <c r="F163">
        <f t="shared" si="5"/>
        <v>146.080634160719</v>
      </c>
    </row>
    <row r="164" spans="1:6" x14ac:dyDescent="0.2">
      <c r="A164">
        <v>21</v>
      </c>
      <c r="B164">
        <v>302.61153153812</v>
      </c>
      <c r="C164">
        <v>0.82660940794084503</v>
      </c>
      <c r="D164">
        <v>0.46586263546651802</v>
      </c>
      <c r="E164">
        <f t="shared" si="4"/>
        <v>250.14153892079773</v>
      </c>
      <c r="F164">
        <f t="shared" si="5"/>
        <v>140.97540560490793</v>
      </c>
    </row>
    <row r="165" spans="1:6" x14ac:dyDescent="0.2">
      <c r="A165">
        <v>21</v>
      </c>
      <c r="B165">
        <v>351.49521794477897</v>
      </c>
      <c r="C165">
        <v>0.79984711790817697</v>
      </c>
      <c r="D165">
        <v>0.47102815660031999</v>
      </c>
      <c r="E165">
        <f t="shared" si="4"/>
        <v>281.142437031638</v>
      </c>
      <c r="F165">
        <f t="shared" si="5"/>
        <v>165.56414456235694</v>
      </c>
    </row>
    <row r="166" spans="1:6" x14ac:dyDescent="0.2">
      <c r="A166">
        <v>21</v>
      </c>
      <c r="B166">
        <v>307.84540774775098</v>
      </c>
      <c r="C166">
        <v>0.80258133153040001</v>
      </c>
      <c r="D166">
        <v>0.47599995743985002</v>
      </c>
      <c r="E166">
        <f t="shared" si="4"/>
        <v>247.0709772557089</v>
      </c>
      <c r="F166">
        <f t="shared" si="5"/>
        <v>146.53440098598276</v>
      </c>
    </row>
    <row r="167" spans="1:6" x14ac:dyDescent="0.2">
      <c r="A167">
        <v>21</v>
      </c>
      <c r="B167">
        <v>323.47145571856998</v>
      </c>
      <c r="C167">
        <v>0.80171020641762303</v>
      </c>
      <c r="D167">
        <v>0.419281662307954</v>
      </c>
      <c r="E167">
        <f t="shared" si="4"/>
        <v>259.33036753434374</v>
      </c>
      <c r="F167">
        <f t="shared" si="5"/>
        <v>135.62564966285575</v>
      </c>
    </row>
    <row r="168" spans="1:6" x14ac:dyDescent="0.2">
      <c r="A168">
        <v>21</v>
      </c>
      <c r="B168">
        <v>302.01778748589697</v>
      </c>
      <c r="C168">
        <v>0.676502569127302</v>
      </c>
      <c r="D168">
        <v>0.17218374341508999</v>
      </c>
      <c r="E168">
        <f t="shared" si="4"/>
        <v>204.31580915635283</v>
      </c>
      <c r="F168">
        <f t="shared" si="5"/>
        <v>52.002553227264862</v>
      </c>
    </row>
    <row r="169" spans="1:6" x14ac:dyDescent="0.2">
      <c r="A169">
        <v>24</v>
      </c>
      <c r="B169">
        <v>337.164598456416</v>
      </c>
      <c r="C169">
        <v>0.88883087202460198</v>
      </c>
      <c r="D169">
        <v>0.64451495194456898</v>
      </c>
      <c r="E169">
        <f t="shared" si="4"/>
        <v>299.68230406184102</v>
      </c>
      <c r="F169">
        <f t="shared" si="5"/>
        <v>217.30762497154686</v>
      </c>
    </row>
    <row r="170" spans="1:6" x14ac:dyDescent="0.2">
      <c r="A170">
        <v>24</v>
      </c>
      <c r="B170">
        <v>327.91667892196301</v>
      </c>
      <c r="C170">
        <v>0.85985404279949496</v>
      </c>
      <c r="D170">
        <v>0.63660562385814701</v>
      </c>
      <c r="E170">
        <f t="shared" si="4"/>
        <v>281.96048207243382</v>
      </c>
      <c r="F170">
        <f t="shared" si="5"/>
        <v>208.75360195860796</v>
      </c>
    </row>
    <row r="171" spans="1:6" x14ac:dyDescent="0.2">
      <c r="A171">
        <v>24</v>
      </c>
      <c r="B171">
        <v>347.44459268933798</v>
      </c>
      <c r="C171">
        <v>0.88272887736373595</v>
      </c>
      <c r="D171">
        <v>0.68657257291506002</v>
      </c>
      <c r="E171">
        <f t="shared" si="4"/>
        <v>306.69937525075983</v>
      </c>
      <c r="F171">
        <f t="shared" si="5"/>
        <v>238.54592794814383</v>
      </c>
    </row>
    <row r="172" spans="1:6" x14ac:dyDescent="0.2">
      <c r="A172">
        <v>24</v>
      </c>
      <c r="B172">
        <v>359.51975029625601</v>
      </c>
      <c r="C172">
        <v>0.86809018275788197</v>
      </c>
      <c r="D172">
        <v>0.65299313432940098</v>
      </c>
      <c r="E172">
        <f t="shared" si="4"/>
        <v>312.09556573974498</v>
      </c>
      <c r="F172">
        <f t="shared" si="5"/>
        <v>234.7639285992758</v>
      </c>
    </row>
    <row r="173" spans="1:6" x14ac:dyDescent="0.2">
      <c r="A173">
        <v>24</v>
      </c>
      <c r="B173">
        <v>339.84208925351697</v>
      </c>
      <c r="C173">
        <v>0.852573325169244</v>
      </c>
      <c r="D173">
        <v>0.62396054273979695</v>
      </c>
      <c r="E173">
        <f t="shared" si="4"/>
        <v>289.74030006733398</v>
      </c>
      <c r="F173">
        <f t="shared" si="5"/>
        <v>212.04805445645096</v>
      </c>
    </row>
    <row r="174" spans="1:6" x14ac:dyDescent="0.2">
      <c r="A174">
        <v>24</v>
      </c>
      <c r="B174">
        <v>328.59608546870498</v>
      </c>
      <c r="C174">
        <v>0.85677153924625604</v>
      </c>
      <c r="D174">
        <v>0.56727669954846704</v>
      </c>
      <c r="E174">
        <f t="shared" si="4"/>
        <v>281.5317739373167</v>
      </c>
      <c r="F174">
        <f t="shared" si="5"/>
        <v>186.40490284923297</v>
      </c>
    </row>
    <row r="175" spans="1:6" x14ac:dyDescent="0.2">
      <c r="A175">
        <v>24</v>
      </c>
      <c r="B175">
        <v>355.17099939286402</v>
      </c>
      <c r="C175">
        <v>0.87499232439715802</v>
      </c>
      <c r="D175">
        <v>0.66115062274606895</v>
      </c>
      <c r="E175">
        <f t="shared" si="4"/>
        <v>310.7718983172237</v>
      </c>
      <c r="F175">
        <f t="shared" si="5"/>
        <v>234.82152742993571</v>
      </c>
    </row>
    <row r="176" spans="1:6" x14ac:dyDescent="0.2">
      <c r="A176">
        <v>24</v>
      </c>
      <c r="B176">
        <v>336.31903320165998</v>
      </c>
      <c r="C176">
        <v>0.86537494073471999</v>
      </c>
      <c r="D176">
        <v>0.64382325233918103</v>
      </c>
      <c r="E176">
        <f t="shared" si="4"/>
        <v>291.0420634248448</v>
      </c>
      <c r="F176">
        <f t="shared" si="5"/>
        <v>216.53001377946174</v>
      </c>
    </row>
    <row r="177" spans="1:6" x14ac:dyDescent="0.2">
      <c r="A177">
        <v>24</v>
      </c>
      <c r="B177">
        <v>335.79441641349001</v>
      </c>
      <c r="C177">
        <v>0.87081416692997904</v>
      </c>
      <c r="D177">
        <v>0.63467142875391502</v>
      </c>
      <c r="E177">
        <f t="shared" si="4"/>
        <v>292.41453498885181</v>
      </c>
      <c r="F177">
        <f t="shared" si="5"/>
        <v>213.11912203273681</v>
      </c>
    </row>
    <row r="178" spans="1:6" x14ac:dyDescent="0.2">
      <c r="A178">
        <v>24</v>
      </c>
      <c r="B178">
        <v>335.92400048619999</v>
      </c>
      <c r="C178">
        <v>0.86334476763176704</v>
      </c>
      <c r="D178">
        <v>0.56374534690702904</v>
      </c>
      <c r="E178">
        <f t="shared" si="4"/>
        <v>290.01822814169191</v>
      </c>
      <c r="F178">
        <f t="shared" si="5"/>
        <v>189.3755921884898</v>
      </c>
    </row>
    <row r="179" spans="1:6" x14ac:dyDescent="0.2">
      <c r="A179">
        <v>24</v>
      </c>
      <c r="B179">
        <v>344.09946210741498</v>
      </c>
      <c r="C179">
        <v>0.89098021557378104</v>
      </c>
      <c r="D179">
        <v>0.66030069634539801</v>
      </c>
      <c r="E179">
        <f t="shared" si="4"/>
        <v>306.58581292728672</v>
      </c>
      <c r="F179">
        <f t="shared" si="5"/>
        <v>227.20911444160302</v>
      </c>
    </row>
    <row r="180" spans="1:6" x14ac:dyDescent="0.2">
      <c r="A180">
        <v>24</v>
      </c>
      <c r="B180">
        <v>361.10162436404403</v>
      </c>
      <c r="C180">
        <v>0.87073814594558496</v>
      </c>
      <c r="D180">
        <v>0.67407347834964704</v>
      </c>
      <c r="E180">
        <f t="shared" si="4"/>
        <v>314.42495889668675</v>
      </c>
      <c r="F180">
        <f t="shared" si="5"/>
        <v>243.4090279727788</v>
      </c>
    </row>
    <row r="181" spans="1:6" x14ac:dyDescent="0.2">
      <c r="A181">
        <v>24</v>
      </c>
      <c r="B181">
        <v>348.09506908595199</v>
      </c>
      <c r="C181">
        <v>0.85054426262898897</v>
      </c>
      <c r="D181">
        <v>0.65241980247311404</v>
      </c>
      <c r="E181">
        <f t="shared" si="4"/>
        <v>296.07026386049802</v>
      </c>
      <c r="F181">
        <f t="shared" si="5"/>
        <v>227.10411621492179</v>
      </c>
    </row>
    <row r="182" spans="1:6" x14ac:dyDescent="0.2">
      <c r="A182">
        <v>24</v>
      </c>
      <c r="B182">
        <v>319.07142399181203</v>
      </c>
      <c r="C182">
        <v>0.84060901361187301</v>
      </c>
      <c r="D182">
        <v>0.58906462763318501</v>
      </c>
      <c r="E182">
        <f t="shared" si="4"/>
        <v>268.21431499349285</v>
      </c>
      <c r="F182">
        <f t="shared" si="5"/>
        <v>187.95368956212684</v>
      </c>
    </row>
    <row r="183" spans="1:6" x14ac:dyDescent="0.2">
      <c r="A183">
        <v>24</v>
      </c>
      <c r="B183">
        <v>356.03463961746002</v>
      </c>
      <c r="C183">
        <v>0.86039471366717402</v>
      </c>
      <c r="D183">
        <v>0.64444207806458298</v>
      </c>
      <c r="E183">
        <f t="shared" si="4"/>
        <v>306.33032180926</v>
      </c>
      <c r="F183">
        <f t="shared" si="5"/>
        <v>229.44370301805083</v>
      </c>
    </row>
    <row r="184" spans="1:6" x14ac:dyDescent="0.2">
      <c r="A184">
        <v>24</v>
      </c>
      <c r="B184">
        <v>350.65826418229898</v>
      </c>
      <c r="C184">
        <v>0.84750305489829203</v>
      </c>
      <c r="D184">
        <v>0.64591015103577598</v>
      </c>
      <c r="E184">
        <f t="shared" si="4"/>
        <v>297.18395011983074</v>
      </c>
      <c r="F184">
        <f t="shared" si="5"/>
        <v>226.49373237993177</v>
      </c>
    </row>
    <row r="185" spans="1:6" x14ac:dyDescent="0.2">
      <c r="A185">
        <v>24</v>
      </c>
      <c r="B185">
        <v>314.16014143836998</v>
      </c>
      <c r="C185">
        <v>0.79517683341897305</v>
      </c>
      <c r="D185">
        <v>0.51200004826975898</v>
      </c>
      <c r="E185">
        <f t="shared" si="4"/>
        <v>249.81286645541974</v>
      </c>
      <c r="F185">
        <f t="shared" si="5"/>
        <v>160.85000758087975</v>
      </c>
    </row>
    <row r="186" spans="1:6" x14ac:dyDescent="0.2">
      <c r="A186">
        <v>24</v>
      </c>
      <c r="B186">
        <v>356.63291030888001</v>
      </c>
      <c r="C186">
        <v>0.87254466225323202</v>
      </c>
      <c r="D186">
        <v>0.65416031367470795</v>
      </c>
      <c r="E186">
        <f t="shared" si="4"/>
        <v>311.17814227384889</v>
      </c>
      <c r="F186">
        <f t="shared" si="5"/>
        <v>233.29509647438093</v>
      </c>
    </row>
    <row r="187" spans="1:6" x14ac:dyDescent="0.2">
      <c r="A187">
        <v>24</v>
      </c>
      <c r="B187">
        <v>341.38837950250399</v>
      </c>
      <c r="C187">
        <v>0.84691208326106004</v>
      </c>
      <c r="D187">
        <v>0.63940465302934801</v>
      </c>
      <c r="E187">
        <f t="shared" si="4"/>
        <v>289.12594368558302</v>
      </c>
      <c r="F187">
        <f t="shared" si="5"/>
        <v>218.28531834404995</v>
      </c>
    </row>
    <row r="188" spans="1:6" x14ac:dyDescent="0.2">
      <c r="A188">
        <v>24</v>
      </c>
      <c r="B188">
        <v>341.95762740261102</v>
      </c>
      <c r="C188">
        <v>0.86431422262275004</v>
      </c>
      <c r="D188">
        <v>0.63704104930554195</v>
      </c>
      <c r="E188">
        <f t="shared" si="4"/>
        <v>295.55884089840777</v>
      </c>
      <c r="F188">
        <f t="shared" si="5"/>
        <v>217.84104577859287</v>
      </c>
    </row>
    <row r="189" spans="1:6" x14ac:dyDescent="0.2">
      <c r="A189">
        <v>24</v>
      </c>
      <c r="B189">
        <v>345.50574273662698</v>
      </c>
      <c r="C189">
        <v>0.83749245774630898</v>
      </c>
      <c r="D189">
        <v>0.61607052287707798</v>
      </c>
      <c r="E189">
        <f t="shared" si="4"/>
        <v>289.35845364996169</v>
      </c>
      <c r="F189">
        <f t="shared" si="5"/>
        <v>212.85590358478697</v>
      </c>
    </row>
    <row r="190" spans="1:6" x14ac:dyDescent="0.2">
      <c r="A190">
        <v>24</v>
      </c>
      <c r="B190">
        <v>339.54603522744998</v>
      </c>
      <c r="C190">
        <v>0.84811213527189799</v>
      </c>
      <c r="D190">
        <v>0.54439881829989401</v>
      </c>
      <c r="E190">
        <f t="shared" si="4"/>
        <v>287.97311295985969</v>
      </c>
      <c r="F190">
        <f t="shared" si="5"/>
        <v>184.84846033623796</v>
      </c>
    </row>
    <row r="191" spans="1:6" x14ac:dyDescent="0.2">
      <c r="A191">
        <v>24</v>
      </c>
      <c r="B191">
        <v>345.69357329167502</v>
      </c>
      <c r="C191">
        <v>0.89535287342804804</v>
      </c>
      <c r="D191">
        <v>0.64270685791853099</v>
      </c>
      <c r="E191">
        <f t="shared" si="4"/>
        <v>309.51773417231078</v>
      </c>
      <c r="F191">
        <f t="shared" si="5"/>
        <v>222.17963029292187</v>
      </c>
    </row>
  </sheetData>
  <sortState xmlns:xlrd2="http://schemas.microsoft.com/office/spreadsheetml/2017/richdata2" ref="A5:D191">
    <sortCondition ref="A5:A19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983b 10k</vt:lpstr>
      <vt:lpstr>983b 5k</vt:lpstr>
      <vt:lpstr>983b 2.5k</vt:lpstr>
      <vt:lpstr>793b 10k</vt:lpstr>
      <vt:lpstr>793b 5k</vt:lpstr>
      <vt:lpstr>793 2.5k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McNamara</dc:creator>
  <cp:lastModifiedBy>Riley McNamara</cp:lastModifiedBy>
  <dcterms:created xsi:type="dcterms:W3CDTF">2025-10-26T23:50:55Z</dcterms:created>
  <dcterms:modified xsi:type="dcterms:W3CDTF">2025-11-03T03:04:55Z</dcterms:modified>
</cp:coreProperties>
</file>